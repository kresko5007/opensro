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ules" sheetId="2" state="visible" r:id="rId4"/>
    <sheet name="Pets" sheetId="3" state="visible" r:id="rId5"/>
    <sheet name="Skills" sheetId="4" state="visible" r:id="rId6"/>
    <sheet name="Gear" sheetId="5" state="visible" r:id="rId7"/>
    <sheet name="Degrees" sheetId="6" state="visible" r:id="rId8"/>
    <sheet name="Affixes" sheetId="7" state="visible" r:id="rId9"/>
    <sheet name="Procs" sheetId="8" state="visible" r:id="rId10"/>
  </sheets>
  <definedNames>
    <definedName function="false" hidden="true" localSheetId="6" name="_xlnm._FilterDatabase" vbProcedure="false">Affixes!$A$4:$Q$104</definedName>
    <definedName function="false" hidden="true" localSheetId="3" name="_xlnm._FilterDatabase" vbProcedure="false">Skills!$A$4:$Y$64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design</author>
  </authors>
  <commentList>
    <comment ref="N4" authorId="0">
      <text>
        <r>
          <rPr>
            <sz val="10"/>
            <rFont val="Arial"/>
            <family val="2"/>
          </rPr>
          <t xml:space="preserve">Defaults to Rules &gt; Skill max level. Type a number to override one skill.</t>
        </r>
      </text>
    </comment>
    <comment ref="S4" authorId="0">
      <text>
        <r>
          <rPr>
            <sz val="10"/>
            <rFont val="Arial"/>
            <family val="2"/>
          </rPr>
          <t xml:space="preserve">Row unlock (Rules) + (option - 1) x option unlock step.</t>
        </r>
      </text>
    </comment>
    <comment ref="T4" authorId="0">
      <text>
        <r>
          <rPr>
            <sz val="10"/>
            <rFont val="Arial"/>
            <family val="2"/>
          </rPr>
          <t xml:space="preserve">Unlock + (max level - 1) x pet levels per skill level (Rules).</t>
        </r>
      </text>
    </comment>
    <comment ref="X4" authorId="0">
      <text>
        <r>
          <rPr>
            <sz val="10"/>
            <rFont val="Arial"/>
            <family val="2"/>
          </rPr>
          <t xml:space="preserve">Stable number the server and client use for this skill. Never reuse or renumber once live.</t>
        </r>
      </text>
    </comment>
    <comment ref="Y4" authorId="0">
      <text>
        <r>
          <rPr>
            <sz val="10"/>
            <rFont val="Arial"/>
            <family val="2"/>
          </rPr>
          <t xml:space="preserve">Native skill icon (icon/skill/...), without .ddj.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design</author>
  </authors>
  <commentList>
    <comment ref="I4" authorId="0">
      <text>
        <r>
          <rPr>
            <sz val="10"/>
            <rFont val="Arial"/>
            <family val="2"/>
          </rPr>
          <t xml:space="preserve">itemdata codename (port row, portItemRows.mjs).</t>
        </r>
      </text>
    </comment>
    <comment ref="J4" authorId="0">
      <text>
        <r>
          <rPr>
            <sz val="10"/>
            <rFont val="Arial"/>
            <family val="2"/>
          </rPr>
          <t xml:space="preserve">itemdata RefObjID (port row). Never reuse once live.</t>
        </r>
      </text>
    </comment>
    <comment ref="K4" authorId="0">
      <text>
        <r>
          <rPr>
            <sz val="10"/>
            <rFont val="Arial"/>
            <family val="2"/>
          </rPr>
          <t xml:space="preserve">itemdata codename (port row, portItemRows.mjs).</t>
        </r>
      </text>
    </comment>
    <comment ref="L4" authorId="0">
      <text>
        <r>
          <rPr>
            <sz val="10"/>
            <rFont val="Arial"/>
            <family val="2"/>
          </rPr>
          <t xml:space="preserve">itemdata RefObjID (port row). Never reuse once live.</t>
        </r>
      </text>
    </comment>
    <comment ref="M4" authorId="0">
      <text>
        <r>
          <rPr>
            <sz val="10"/>
            <rFont val="Arial"/>
            <family val="2"/>
          </rPr>
          <t xml:space="preserve">itemdata codename (port row, portItemRows.mjs).</t>
        </r>
      </text>
    </comment>
    <comment ref="N4" authorId="0">
      <text>
        <r>
          <rPr>
            <sz val="10"/>
            <rFont val="Arial"/>
            <family val="2"/>
          </rPr>
          <t xml:space="preserve">itemdata RefObjID (port row). Never reuse once live.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design</author>
  </authors>
  <commentList>
    <comment ref="O4" authorId="0">
      <text>
        <r>
          <rPr>
            <sz val="10"/>
            <rFont val="Arial"/>
            <family val="2"/>
          </rPr>
          <t xml:space="preserve">How many affix tiers in Affixes can roll at this degree (Min degree &lt;= degree).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design</author>
  </authors>
  <commentList>
    <comment ref="H4" authorId="0">
      <text>
        <r>
          <rPr>
            <sz val="10"/>
            <rFont val="Arial"/>
            <family val="2"/>
          </rPr>
          <t xml:space="preserve">Tier inside its Group. Higher tiers need a higher Min degree.</t>
        </r>
      </text>
    </comment>
    <comment ref="M4" authorId="0">
      <text>
        <r>
          <rPr>
            <sz val="10"/>
            <rFont val="Arial"/>
            <family val="2"/>
          </rPr>
          <t xml:space="preserve">Relative roll weight among the affixes an item can still take (D2 frequency).</t>
        </r>
      </text>
    </comment>
    <comment ref="Q4" authorId="0">
      <text>
        <r>
          <rPr>
            <sz val="10"/>
            <rFont val="Arial"/>
            <family val="2"/>
          </rPr>
          <t xml:space="preserve">Stable wire number of this affix tier (blue option id = 0x8000 + Code). Never reuse or renumber once items exist.</t>
        </r>
      </text>
    </comment>
  </commentList>
</comments>
</file>

<file path=xl/sharedStrings.xml><?xml version="1.0" encoding="utf-8"?>
<sst xmlns="http://schemas.openxmlformats.org/spreadsheetml/2006/main" count="2213" uniqueCount="1024">
  <si>
    <t xml:space="preserve">Attack-pet expansion: skills and equipment</t>
  </si>
  <si>
    <t xml:space="preserve">Single source of truth for the design. Edit the yellow cells; formulas (black) follow.</t>
  </si>
  <si>
    <t xml:space="preserve">What this is</t>
  </si>
  <si>
    <t xml:space="preserve">The design of the four attack pets' skill trees and of the shared pet equipment (monster drops with random blue options, Diablo 2 style). The server and client will be built from these tables.</t>
  </si>
  <si>
    <t xml:space="preserve">How to edit</t>
  </si>
  <si>
    <t xml:space="preserve">Yellow cells with blue text are design inputs: change them freely. Black cells are formulas (do not overwrite). To add a skill or an affix, insert a row inside its table and copy the formula cells from the row above.</t>
  </si>
  <si>
    <t xml:space="preserve">Sheets</t>
  </si>
  <si>
    <t xml:space="preserve">Rules: every global knob (points, rows, cooldown sharing, drop multipliers, blues). Pets: the four pets and their animations. Skills: all 60 skills (filter by Pet). Gear: equipment slots and base items by degree. Degrees: drop chance and blue odds per degree. Affixes: the blue option pool with tiers. Procs: the 'chance to cast' skills affixes and skills call.</t>
  </si>
  <si>
    <t xml:space="preserve">Status column</t>
  </si>
  <si>
    <t xml:space="preserve">Implemented = live in the lab build (wolf v1). Planned = designed, not built. Needs engine = also needs a new server mechanic (named in Engine notes).</t>
  </si>
  <si>
    <t xml:space="preserve">Skill rows</t>
  </si>
  <si>
    <t xml:space="preserve">Each pet has 2 active rows and 3 passive rows of 3 options. All learned actives in a row share one cooldown (using one puts the whole row on cooldown), so at most 2 actives fire independently. One passive per passive row is slotted at a time, so at most 3 passives are active.</t>
  </si>
  <si>
    <t xml:space="preserve">Cooldown kinds</t>
  </si>
  <si>
    <t xml:space="preserve">Timer (seconds), Attacks (pet attacks made), Hits taken (by the pet, or the owner where noted), Kills, Owner casts, Spells (pet spells cast). A counter cooldown keeps counting while the row waits.</t>
  </si>
  <si>
    <t xml:space="preserve">Ranks</t>
  </si>
  <si>
    <t xml:space="preserve">Every skill levels 1-10. Rank II (level 5) and Rank III (level 10) add an advanced option on top of the per-level growth (Rules sets the levels).</t>
  </si>
  <si>
    <t xml:space="preserve">Diablo 2 basis</t>
  </si>
  <si>
    <t xml:space="preserve">Magic items roll 1-2 affixes, rares 3+ (here capped at 5); one affix per group; each affix has a weight and a minimum item level; higher item level unlocks better tiers; procs come as 'on striking' and 'when struck'. Degree plays the part of item level.</t>
  </si>
  <si>
    <t xml:space="preserve">Open decisions</t>
  </si>
  <si>
    <t xml:space="preserve">1) One equipment family worn by all pets in 3 slots (Collar, Harness, Charm) - confirm the 3 slots stay. 2) Passives are slotted one per row - confirm vs. all learned passives active. 3) Numbers are a first pass for balance testing.</t>
  </si>
  <si>
    <t xml:space="preserve">Changelog</t>
  </si>
  <si>
    <t xml:space="preserve">Date</t>
  </si>
  <si>
    <t xml:space="preserve">Change</t>
  </si>
  <si>
    <t xml:space="preserve">By</t>
  </si>
  <si>
    <t xml:space="preserve">2026-10-14</t>
  </si>
  <si>
    <t xml:space="preserve">First design: 4 pets x 5 rows x 3 skills, shared pet equipment with D1-D9 degrees, 5-blue cap, affix and proc pools.</t>
  </si>
  <si>
    <t xml:space="preserve">Claude (for owner review)</t>
  </si>
  <si>
    <t xml:space="preserve">Rules</t>
  </si>
  <si>
    <t xml:space="preserve">Global knobs. Other sheets read these cells by formula.</t>
  </si>
  <si>
    <t xml:space="preserve">Key</t>
  </si>
  <si>
    <t xml:space="preserve">Value</t>
  </si>
  <si>
    <t xml:space="preserve">Unit</t>
  </si>
  <si>
    <t xml:space="preserve">Meaning</t>
  </si>
  <si>
    <t xml:space="preserve">Skill max level</t>
  </si>
  <si>
    <t xml:space="preserve">levels</t>
  </si>
  <si>
    <t xml:space="preserve">Every skill's level cap (a skill row may override).</t>
  </si>
  <si>
    <t xml:space="preserve">Rank II level</t>
  </si>
  <si>
    <t xml:space="preserve">skill level</t>
  </si>
  <si>
    <t xml:space="preserve">Skill level that adds the Rank II option.</t>
  </si>
  <si>
    <t xml:space="preserve">Rank III level</t>
  </si>
  <si>
    <t xml:space="preserve">Skill level that adds the Rank III option.</t>
  </si>
  <si>
    <t xml:space="preserve">Pet levels per skill level</t>
  </si>
  <si>
    <t xml:space="preserve">pet levels</t>
  </si>
  <si>
    <t xml:space="preserve">Each further skill level needs this many more pet levels than the last.</t>
  </si>
  <si>
    <t xml:space="preserve">Points per pet levels</t>
  </si>
  <si>
    <t xml:space="preserve">One skill point at pet level 1, then one more every N levels.</t>
  </si>
  <si>
    <t xml:space="preserve">Option unlock step</t>
  </si>
  <si>
    <t xml:space="preserve">Option 2 of a row unlocks this many levels after option 1, option 3 twice that.</t>
  </si>
  <si>
    <t xml:space="preserve">Row unlock: Active 1</t>
  </si>
  <si>
    <t xml:space="preserve">pet level</t>
  </si>
  <si>
    <t xml:space="preserve">First active row.</t>
  </si>
  <si>
    <t xml:space="preserve">Row unlock: Active 2</t>
  </si>
  <si>
    <t xml:space="preserve">Second active row.</t>
  </si>
  <si>
    <t xml:space="preserve">Row unlock: Passive 1</t>
  </si>
  <si>
    <t xml:space="preserve">Row unlock: Passive 2</t>
  </si>
  <si>
    <t xml:space="preserve">Row unlock: Passive 3</t>
  </si>
  <si>
    <t xml:space="preserve">Shared row cooldown</t>
  </si>
  <si>
    <t xml:space="preserve">Yes</t>
  </si>
  <si>
    <t xml:space="preserve">Using any active in a row puts the whole row on cooldown.</t>
  </si>
  <si>
    <t xml:space="preserve">Passives slotted per row</t>
  </si>
  <si>
    <t xml:space="preserve">skills</t>
  </si>
  <si>
    <t xml:space="preserve">Passives active at once per passive row (3 rows = 3 passives).</t>
  </si>
  <si>
    <t xml:space="preserve">Proc internal cooldown</t>
  </si>
  <si>
    <t xml:space="preserve">s</t>
  </si>
  <si>
    <t xml:space="preserve">A 'chance to cast' affix cannot fire twice within this time (D2 has none; we add it for balance).</t>
  </si>
  <si>
    <t xml:space="preserve">Max blues per item</t>
  </si>
  <si>
    <t xml:space="preserve">options</t>
  </si>
  <si>
    <t xml:space="preserve">Hard cap on blue options per item.</t>
  </si>
  <si>
    <t xml:space="preserve">Magic: chance of 2 blues</t>
  </si>
  <si>
    <t xml:space="preserve">fraction</t>
  </si>
  <si>
    <t xml:space="preserve">A magic item rolls 1 blue, or 2 with this chance.</t>
  </si>
  <si>
    <t xml:space="preserve">Monster rank x General</t>
  </si>
  <si>
    <t xml:space="preserve">x</t>
  </si>
  <si>
    <t xml:space="preserve">Drop chance multiplier by monster rank.</t>
  </si>
  <si>
    <t xml:space="preserve">Monster rank x Champion</t>
  </si>
  <si>
    <t xml:space="preserve">Monster rank x Giant</t>
  </si>
  <si>
    <t xml:space="preserve">Monster rank x Unique</t>
  </si>
  <si>
    <t xml:space="preserve">Uniques also drop one degree higher (capped at D9).</t>
  </si>
  <si>
    <t xml:space="preserve">Collar implicit per degree</t>
  </si>
  <si>
    <t xml:space="preserve">% damage</t>
  </si>
  <si>
    <t xml:space="preserve">Base (white) stat of a collar: damage +N% per degree.</t>
  </si>
  <si>
    <t xml:space="preserve">Harness implicit per degree</t>
  </si>
  <si>
    <t xml:space="preserve">% defense</t>
  </si>
  <si>
    <t xml:space="preserve">Base stat of a harness: defense +N% per degree.</t>
  </si>
  <si>
    <t xml:space="preserve">Charm implicit per degree</t>
  </si>
  <si>
    <t xml:space="preserve">% cooldown</t>
  </si>
  <si>
    <t xml:space="preserve">Base stat of a charm: skill cooldowns -N% per degree.</t>
  </si>
  <si>
    <t xml:space="preserve">Drop source</t>
  </si>
  <si>
    <t xml:space="preserve">Monsters</t>
  </si>
  <si>
    <t xml:space="preserve">Pet equipment drops from monsters only; no NPC shop sells it.</t>
  </si>
  <si>
    <t xml:space="preserve">Skill points at pet level</t>
  </si>
  <si>
    <t xml:space="preserve">Pet level</t>
  </si>
  <si>
    <t xml:space="preserve">Points (formula)</t>
  </si>
  <si>
    <t xml:space="preserve">One skill per row maxed needs 5 x 10 = 50 points: a choice even at level 140.</t>
  </si>
  <si>
    <t xml:space="preserve">Pets</t>
  </si>
  <si>
    <t xml:space="preserve">The four attack pets (v1.150 data: 140 levels each) and the native animation clips their skills can use.</t>
  </si>
  <si>
    <t xml:space="preserve">Pet</t>
  </si>
  <si>
    <t xml:space="preserve">Role</t>
  </si>
  <si>
    <t xml:space="preserve">Codename family</t>
  </si>
  <si>
    <t xml:space="preserve">Summon item</t>
  </si>
  <si>
    <t xml:space="preserve">Leans on</t>
  </si>
  <si>
    <t xml:space="preserve">Model clips</t>
  </si>
  <si>
    <t xml:space="preserve">Active animation</t>
  </si>
  <si>
    <t xml:space="preserve">Notes</t>
  </si>
  <si>
    <t xml:space="preserve">Bear</t>
  </si>
  <si>
    <t xml:space="preserve">Defense</t>
  </si>
  <si>
    <t xml:space="preserve">COS_P_BEAR</t>
  </si>
  <si>
    <t xml:space="preserve">ITEM_COS_P_BEAR_SCROLL</t>
  </si>
  <si>
    <t xml:space="preserve">HP, defense, threat</t>
  </si>
  <si>
    <t xml:space="preserve">stand, walk, run, attack1, hit1, down, wakeup, emote0 (roar)</t>
  </si>
  <si>
    <t xml:space="preserve">emote0 for roars and taunts; attack1 for slams</t>
  </si>
  <si>
    <t xml:space="preserve">Tank: holds monsters off the owner.</t>
  </si>
  <si>
    <t xml:space="preserve">Wolf</t>
  </si>
  <si>
    <t xml:space="preserve">Attack</t>
  </si>
  <si>
    <t xml:space="preserve">COS_P_WOLF, _WHITE, _WHITE_SMALL</t>
  </si>
  <si>
    <t xml:space="preserve">ITEM_COS_P_FLUTE (+_WHITE, _WHITE_SMALL)</t>
  </si>
  <si>
    <t xml:space="preserve">Physical damage, speed</t>
  </si>
  <si>
    <t xml:space="preserve">stand, walk, run, attack1, down, wakeup, emote0 (howl)</t>
  </si>
  <si>
    <t xml:space="preserve">emote0 for howls; attack1 for bites</t>
  </si>
  <si>
    <t xml:space="preserve">Damage dealer; current lab build has the v1 wolf tree.</t>
  </si>
  <si>
    <t xml:space="preserve">Penguin</t>
  </si>
  <si>
    <t xml:space="preserve">Magic</t>
  </si>
  <si>
    <t xml:space="preserve">COS_P_PENGUIN</t>
  </si>
  <si>
    <t xml:space="preserve">ITEM_COS_P_PENGUIN_SCROLL</t>
  </si>
  <si>
    <t xml:space="preserve">Magic damage, frost control</t>
  </si>
  <si>
    <t xml:space="preserve">stand, walk, run, attack1, attack2, hit1, down, emote0</t>
  </si>
  <si>
    <t xml:space="preserve">attack2 for spells; emote0 for wards</t>
  </si>
  <si>
    <t xml:space="preserve">Only pet with a second attack clip: spells read as casts.</t>
  </si>
  <si>
    <t xml:space="preserve">Crow</t>
  </si>
  <si>
    <t xml:space="preserve">Support</t>
  </si>
  <si>
    <t xml:space="preserve">COS_P_RAVEN</t>
  </si>
  <si>
    <t xml:space="preserve">ITEM_COS_P_RAVEN_SCROLL</t>
  </si>
  <si>
    <t xml:space="preserve">Owner and party buffs</t>
  </si>
  <si>
    <t xml:space="preserve">stand, walk, run, attack1, hit1, down, emote0 (caw)</t>
  </si>
  <si>
    <t xml:space="preserve">emote0 for cries; attack1 for pecks</t>
  </si>
  <si>
    <t xml:space="preserve">The native raven model.</t>
  </si>
  <si>
    <t xml:space="preserve">Skills</t>
  </si>
  <si>
    <t xml:space="preserve">Each pet: 2 active rows + 3 passive rows, 3 options each. {v} in an effect is the Value column at the skill's level.</t>
  </si>
  <si>
    <t xml:space="preserve">Row</t>
  </si>
  <si>
    <t xml:space="preserve">Row theme</t>
  </si>
  <si>
    <t xml:space="preserve">Option</t>
  </si>
  <si>
    <t xml:space="preserve">Skill</t>
  </si>
  <si>
    <t xml:space="preserve">Effect ({v})</t>
  </si>
  <si>
    <t xml:space="preserve">Trigger / cooldown kind</t>
  </si>
  <si>
    <t xml:space="preserve">Cooldown L1</t>
  </si>
  <si>
    <t xml:space="preserve">Cooldown unit</t>
  </si>
  <si>
    <t xml:space="preserve">Cooldown per level</t>
  </si>
  <si>
    <t xml:space="preserve">Value L1</t>
  </si>
  <si>
    <t xml:space="preserve">Value per level</t>
  </si>
  <si>
    <t xml:space="preserve">Value unit</t>
  </si>
  <si>
    <t xml:space="preserve">Max level</t>
  </si>
  <si>
    <t xml:space="preserve">Value at max</t>
  </si>
  <si>
    <t xml:space="preserve">Cooldown at max</t>
  </si>
  <si>
    <t xml:space="preserve">Rank II</t>
  </si>
  <si>
    <t xml:space="preserve">Rank III</t>
  </si>
  <si>
    <t xml:space="preserve">Unlock pet level</t>
  </si>
  <si>
    <t xml:space="preserve">Pet level for max</t>
  </si>
  <si>
    <t xml:space="preserve">Animation</t>
  </si>
  <si>
    <t xml:space="preserve">Engine notes</t>
  </si>
  <si>
    <t xml:space="preserve">Status</t>
  </si>
  <si>
    <t xml:space="preserve">ID</t>
  </si>
  <si>
    <t xml:space="preserve">Icon</t>
  </si>
  <si>
    <t xml:space="preserve">Active 1</t>
  </si>
  <si>
    <t xml:space="preserve">Control</t>
  </si>
  <si>
    <t xml:space="preserve">Terrifying Howl</t>
  </si>
  <si>
    <t xml:space="preserve">Howls: up to {v} monsters within 6 m are terrified for 3 s and cannot attack the wolf.</t>
  </si>
  <si>
    <t xml:space="preserve">Timer</t>
  </si>
  <si>
    <t xml:space="preserve">monsters</t>
  </si>
  <si>
    <t xml:space="preserve">Radius 9 m.</t>
  </si>
  <si>
    <t xml:space="preserve">Terror lasts 4 s.</t>
  </si>
  <si>
    <t xml:space="preserve">emote0</t>
  </si>
  <si>
    <t xml:space="preserve">Live (native Fear: feared monsters cannot attack the pet), Rank II and III live.</t>
  </si>
  <si>
    <t xml:space="preserve">Implemented</t>
  </si>
  <si>
    <t xml:space="preserve">skill\europe\warrior_twohanda_cry_a</t>
  </si>
  <si>
    <t xml:space="preserve">Hamstring</t>
  </si>
  <si>
    <t xml:space="preserve">Bites the legs: the target is stunned {v} s.</t>
  </si>
  <si>
    <t xml:space="preserve">Attacks</t>
  </si>
  <si>
    <t xml:space="preserve">attacks</t>
  </si>
  <si>
    <t xml:space="preserve">After the stun the target is slowed 40% for 4 s.</t>
  </si>
  <si>
    <t xml:space="preserve">The stun also hits 2 enemies next to the target.</t>
  </si>
  <si>
    <t xml:space="preserve">attack1</t>
  </si>
  <si>
    <t xml:space="preserve">Live (native stun). Rank III live; Rank II slow planned.</t>
  </si>
  <si>
    <t xml:space="preserve">skill\europe\warlock_soula_stun_a</t>
  </si>
  <si>
    <t xml:space="preserve">Alpha's Lure</t>
  </si>
  <si>
    <t xml:space="preserve">Up to {v} monsters within 12 m must chase the wolf for 5 s.</t>
  </si>
  <si>
    <t xml:space="preserve">Kills</t>
  </si>
  <si>
    <t xml:space="preserve">kills</t>
  </si>
  <si>
    <t xml:space="preserve">Lured monsters are pulled to the wolf.</t>
  </si>
  <si>
    <t xml:space="preserve">The owner deals +20% damage to lured monsters.</t>
  </si>
  <si>
    <t xml:space="preserve">Threat override in monster AI; displacement exists.</t>
  </si>
  <si>
    <t xml:space="preserve">Needs engine</t>
  </si>
  <si>
    <t xml:space="preserve">skill\europe\warrior_frenzya_tount_a</t>
  </si>
  <si>
    <t xml:space="preserve">Active 2</t>
  </si>
  <si>
    <t xml:space="preserve">Burst</t>
  </si>
  <si>
    <t xml:space="preserve">Rending Bite</t>
  </si>
  <si>
    <t xml:space="preserve">Bites for {v}% damage; the target bleeds 2 x pet level every 2 s for 6 s.</t>
  </si>
  <si>
    <t xml:space="preserve">Bleed stacks twice.</t>
  </si>
  <si>
    <t xml:space="preserve">Bleeding targets below 30% HP are killed outright (not bosses).</t>
  </si>
  <si>
    <t xml:space="preserve">Live (native bleed). Rank II and III live.</t>
  </si>
  <si>
    <t xml:space="preserve">skill\china\fire_gigongta_b</t>
  </si>
  <si>
    <t xml:space="preserve">Frenzy</t>
  </si>
  <si>
    <t xml:space="preserve">Attack speed +{v}% for 6 s.</t>
  </si>
  <si>
    <t xml:space="preserve">% speed</t>
  </si>
  <si>
    <t xml:space="preserve">+15% critical chance while frenzied.</t>
  </si>
  <si>
    <t xml:space="preserve">Every kill while frenzied adds 2 s.</t>
  </si>
  <si>
    <t xml:space="preserve">Live (attack interval). Rank II live; Rank III planned.</t>
  </si>
  <si>
    <t xml:space="preserve">skill\europe\warrior_frenzya_damage_a</t>
  </si>
  <si>
    <t xml:space="preserve">Pounce</t>
  </si>
  <si>
    <t xml:space="preserve">Leaps at a target up to 10 m away for {v}% damage.</t>
  </si>
  <si>
    <t xml:space="preserve">Knocks the target down for 2 s.</t>
  </si>
  <si>
    <t xml:space="preserve">Lands with a 3 m splash for 50% to others.</t>
  </si>
  <si>
    <t xml:space="preserve">Live as the fight's opening hit (no leap). Rank II and III live.</t>
  </si>
  <si>
    <t xml:space="preserve">skill\china\bow_call_b</t>
  </si>
  <si>
    <t xml:space="preserve">Passive 1</t>
  </si>
  <si>
    <t xml:space="preserve">Killer instinct</t>
  </si>
  <si>
    <t xml:space="preserve">Execute</t>
  </si>
  <si>
    <t xml:space="preserve">Kills non-boss monsters below {v}% HP outright.</t>
  </si>
  <si>
    <t xml:space="preserve">Passive</t>
  </si>
  <si>
    <t xml:space="preserve">% HP</t>
  </si>
  <si>
    <t xml:space="preserve">+5% threshold against bleeding targets.</t>
  </si>
  <si>
    <t xml:space="preserve">An execution heals the wolf 10% and takes 3 s off the Burst row.</t>
  </si>
  <si>
    <t xml:space="preserve">Live. Rank II live; Rank III planned.</t>
  </si>
  <si>
    <t xml:space="preserve">skill\europe\warrior_onehanda_critical_a</t>
  </si>
  <si>
    <t xml:space="preserve">Bloodlust</t>
  </si>
  <si>
    <t xml:space="preserve">Every 10th attack deals {v}% damage.</t>
  </si>
  <si>
    <t xml:space="preserve">Every 8th attack instead.</t>
  </si>
  <si>
    <t xml:space="preserve">The strike cleaves everything within 3 m.</t>
  </si>
  <si>
    <t xml:space="preserve">Live. Rank II and III live.</t>
  </si>
  <si>
    <t xml:space="preserve">skill\europe\warlock_blooda_explosion_a</t>
  </si>
  <si>
    <t xml:space="preserve">Predator</t>
  </si>
  <si>
    <t xml:space="preserve">+{v}% physical attack.</t>
  </si>
  <si>
    <t xml:space="preserve">% attack</t>
  </si>
  <si>
    <t xml:space="preserve">+10% critical damage.</t>
  </si>
  <si>
    <t xml:space="preserve">The owner gets +5% attack while the wolf lives.</t>
  </si>
  <si>
    <t xml:space="preserve">Live. Ranks II and III planned.</t>
  </si>
  <si>
    <t xml:space="preserve">skill\china\lightning_chundung_b</t>
  </si>
  <si>
    <t xml:space="preserve">Passive 2</t>
  </si>
  <si>
    <t xml:space="preserve">Pack</t>
  </si>
  <si>
    <t xml:space="preserve">Pack Runner</t>
  </si>
  <si>
    <t xml:space="preserve">Wolf movement speed +{v}%.</t>
  </si>
  <si>
    <t xml:space="preserve">The owner gets half the bonus.</t>
  </si>
  <si>
    <t xml:space="preserve">Every party member within 20 m gets the full bonus (one Pack Runner counts).</t>
  </si>
  <si>
    <t xml:space="preserve">Movement speed parameter on pet, owner and party.</t>
  </si>
  <si>
    <t xml:space="preserve">Planned</t>
  </si>
  <si>
    <t xml:space="preserve">skill\europe\rog_stealthp_mspeed_a</t>
  </si>
  <si>
    <t xml:space="preserve">Scent of Blood</t>
  </si>
  <si>
    <t xml:space="preserve">+{v}% critical chance against bleeding or wounded (below 50%) targets.</t>
  </si>
  <si>
    <t xml:space="preserve">% crit</t>
  </si>
  <si>
    <t xml:space="preserve">Critical hits refresh the bleed.</t>
  </si>
  <si>
    <t xml:space="preserve">Critical hits heal the wolf 2%.</t>
  </si>
  <si>
    <t xml:space="preserve">skill\europe\warlock_dota_blooding_a</t>
  </si>
  <si>
    <t xml:space="preserve">Swift Fangs</t>
  </si>
  <si>
    <t xml:space="preserve">+{v}% attack speed.</t>
  </si>
  <si>
    <t xml:space="preserve">+5% movement speed.</t>
  </si>
  <si>
    <t xml:space="preserve">Every 5th attack strikes twice.</t>
  </si>
  <si>
    <t xml:space="preserve">Live (attack interval). Ranks II and III planned.</t>
  </si>
  <si>
    <t xml:space="preserve">skill\europe\rog_daggera_speed_a</t>
  </si>
  <si>
    <t xml:space="preserve">Passive 3</t>
  </si>
  <si>
    <t xml:space="preserve">Survival</t>
  </si>
  <si>
    <t xml:space="preserve">Thick Fur</t>
  </si>
  <si>
    <t xml:space="preserve">+{v}% physical and magical defense.</t>
  </si>
  <si>
    <t xml:space="preserve">+5% parry.</t>
  </si>
  <si>
    <t xml:space="preserve">+10% status resistance.</t>
  </si>
  <si>
    <t xml:space="preserve">skill\europe\warrior_shieldp_defense_a</t>
  </si>
  <si>
    <t xml:space="preserve">Lifebite</t>
  </si>
  <si>
    <t xml:space="preserve">{v}% of damage dealt heals the wolf.</t>
  </si>
  <si>
    <t xml:space="preserve">% leech</t>
  </si>
  <si>
    <t xml:space="preserve">The owner is healed half as much.</t>
  </si>
  <si>
    <t xml:space="preserve">Healing above full HP becomes a 10 s shield.</t>
  </si>
  <si>
    <t xml:space="preserve">skill\europe\warlock_blooda_lifedrain_a</t>
  </si>
  <si>
    <t xml:space="preserve">Second Wind</t>
  </si>
  <si>
    <t xml:space="preserve">Below 30% HP the wolf heals {v}% of its max HP.</t>
  </si>
  <si>
    <t xml:space="preserve">Also clears one harmful status.</t>
  </si>
  <si>
    <t xml:space="preserve">Also heals the owner the same amount.</t>
  </si>
  <si>
    <t xml:space="preserve">Live (checked on the wolf's next attack). Ranks II and III planned.</t>
  </si>
  <si>
    <t xml:space="preserve">skill\europe\cleric_recoverya_quick_a</t>
  </si>
  <si>
    <t xml:space="preserve">Threat</t>
  </si>
  <si>
    <t xml:space="preserve">Challenging Roar</t>
  </si>
  <si>
    <t xml:space="preserve">Taunts up to {v} monsters within 8 m for 6 s.</t>
  </si>
  <si>
    <t xml:space="preserve">Taunted monsters deal 15% less damage.</t>
  </si>
  <si>
    <t xml:space="preserve">Radius 12 m; uniques are taunted for 3 s.</t>
  </si>
  <si>
    <t xml:space="preserve">Threat override in monster AI.</t>
  </si>
  <si>
    <t xml:space="preserve">skill\europe\warrior_frenzya_tount_area_a</t>
  </si>
  <si>
    <t xml:space="preserve">Ground Slam</t>
  </si>
  <si>
    <t xml:space="preserve">Stuns up to {v} monsters within 4 m for 1.5 s.</t>
  </si>
  <si>
    <t xml:space="preserve">Hits taken</t>
  </si>
  <si>
    <t xml:space="preserve">hits taken</t>
  </si>
  <si>
    <t xml:space="preserve">Stun lasts 2.5 s.</t>
  </si>
  <si>
    <t xml:space="preserve">An aftershock 2 s later deals 100% damage.</t>
  </si>
  <si>
    <t xml:space="preserve">Live (native stun, area around the bear). Rank II live; Rank III planned.</t>
  </si>
  <si>
    <t xml:space="preserve">skill\europe\wizard_eartha_area_a</t>
  </si>
  <si>
    <t xml:space="preserve">Bear Hug</t>
  </si>
  <si>
    <t xml:space="preserve">Drags one monster from up to 15 m to the bear and holds it {v} s.</t>
  </si>
  <si>
    <t xml:space="preserve">Pulls up to 3 monsters.</t>
  </si>
  <si>
    <t xml:space="preserve">The held monster takes +25% damage.</t>
  </si>
  <si>
    <t xml:space="preserve">Displacement exists; hold = stun.</t>
  </si>
  <si>
    <t xml:space="preserve">skill\europe\warrior_guarda_intercept_a</t>
  </si>
  <si>
    <t xml:space="preserve">Endurance</t>
  </si>
  <si>
    <t xml:space="preserve">Retribution</t>
  </si>
  <si>
    <t xml:space="preserve">Stores {v}% of damage taken for 10 s, then releases it at everything within 5 m.</t>
  </si>
  <si>
    <t xml:space="preserve">% stored</t>
  </si>
  <si>
    <t xml:space="preserve">Also heals the bear 25% of the stored damage.</t>
  </si>
  <si>
    <t xml:space="preserve">The release stuns for 2 s.</t>
  </si>
  <si>
    <t xml:space="preserve">Live (released on the bear's next attack after 10 s). Rank III live; Rank II planned.</t>
  </si>
  <si>
    <t xml:space="preserve">skill\europe\warrior_twohandp_return_a</t>
  </si>
  <si>
    <t xml:space="preserve">Iron Hide</t>
  </si>
  <si>
    <t xml:space="preserve">Damage taken -{v}% for 6 s.</t>
  </si>
  <si>
    <t xml:space="preserve">% reduced</t>
  </si>
  <si>
    <t xml:space="preserve">Immune to knockdown while active.</t>
  </si>
  <si>
    <t xml:space="preserve">The owner gets half the reduction.</t>
  </si>
  <si>
    <t xml:space="preserve">Live (triggers below 70% HP). Ranks II and III planned.</t>
  </si>
  <si>
    <t xml:space="preserve">skill\europe\warrior_guarda_physical_a</t>
  </si>
  <si>
    <t xml:space="preserve">Guardian Bond</t>
  </si>
  <si>
    <t xml:space="preserve">Takes {v}% of the owner's damage for 10 s.</t>
  </si>
  <si>
    <t xml:space="preserve">% redirected</t>
  </si>
  <si>
    <t xml:space="preserve">The bear's defense applies to the redirected damage.</t>
  </si>
  <si>
    <t xml:space="preserve">Covers party members within 10 m.</t>
  </si>
  <si>
    <t xml:space="preserve">Damage redirect on the player victim path.</t>
  </si>
  <si>
    <t xml:space="preserve">skill\europe\warrior_guarda_divide_a</t>
  </si>
  <si>
    <t xml:space="preserve">Hide</t>
  </si>
  <si>
    <t xml:space="preserve">Thick Hide</t>
  </si>
  <si>
    <t xml:space="preserve">+5% block.</t>
  </si>
  <si>
    <t xml:space="preserve">skill\china\cold_ganggi_b</t>
  </si>
  <si>
    <t xml:space="preserve">Fortitude</t>
  </si>
  <si>
    <t xml:space="preserve">+{v}% max HP.</t>
  </si>
  <si>
    <t xml:space="preserve">+1% HP regeneration every 2 s.</t>
  </si>
  <si>
    <t xml:space="preserve">Revives once per 10 min at 30% HP.</t>
  </si>
  <si>
    <t xml:space="preserve">skill\europe\warrior_frenzya_health_a</t>
  </si>
  <si>
    <t xml:space="preserve">Thorns</t>
  </si>
  <si>
    <t xml:space="preserve">Attackers take {v}% of their damage back.</t>
  </si>
  <si>
    <t xml:space="preserve">% returned</t>
  </si>
  <si>
    <t xml:space="preserve">Returned damage can stun (5%).</t>
  </si>
  <si>
    <t xml:space="preserve">Also covers hits on the owner.</t>
  </si>
  <si>
    <t xml:space="preserve">Damage return exists for players (damagereturn.go).</t>
  </si>
  <si>
    <t xml:space="preserve">skill\europe\warlock_soula_return_a</t>
  </si>
  <si>
    <t xml:space="preserve">Steadfast</t>
  </si>
  <si>
    <t xml:space="preserve">Last Stand</t>
  </si>
  <si>
    <t xml:space="preserve">Below 30% HP: defense +{v}%.</t>
  </si>
  <si>
    <t xml:space="preserve">Threshold 40% HP.</t>
  </si>
  <si>
    <t xml:space="preserve">Taunts everything within 6 m when it triggers (60 s cooldown).</t>
  </si>
  <si>
    <t xml:space="preserve">skill\china\fire_ganggi_b</t>
  </si>
  <si>
    <t xml:space="preserve">Unshakable</t>
  </si>
  <si>
    <t xml:space="preserve">{v}% chance to ignore knockdown, stun and freeze.</t>
  </si>
  <si>
    <t xml:space="preserve">% chance</t>
  </si>
  <si>
    <t xml:space="preserve">Also ignores slows.</t>
  </si>
  <si>
    <t xml:space="preserve">Gives the owner half the chance.</t>
  </si>
  <si>
    <t xml:space="preserve">Status resistance roll exists.</t>
  </si>
  <si>
    <t xml:space="preserve">skill\europe\warrior_dualp_abnormal_a</t>
  </si>
  <si>
    <t xml:space="preserve">Regeneration</t>
  </si>
  <si>
    <t xml:space="preserve">Regenerates {v}% max HP every 2 s out of combat (half in combat).</t>
  </si>
  <si>
    <t xml:space="preserve">Full rate in combat.</t>
  </si>
  <si>
    <t xml:space="preserve">Also regenerates the owner.</t>
  </si>
  <si>
    <t xml:space="preserve">skill\europe\cleric_recoverya_target_a</t>
  </si>
  <si>
    <t xml:space="preserve">Protector</t>
  </si>
  <si>
    <t xml:space="preserve">Bodyguard</t>
  </si>
  <si>
    <t xml:space="preserve">When the owner is hit, {v}% chance the bear taunts that monster.</t>
  </si>
  <si>
    <t xml:space="preserve">Taunted monster is slowed 20%.</t>
  </si>
  <si>
    <t xml:space="preserve">Works for the whole party within 10 m.</t>
  </si>
  <si>
    <t xml:space="preserve">Threat override.</t>
  </si>
  <si>
    <t xml:space="preserve">skill\europe\warrior_guarda_aggro_a</t>
  </si>
  <si>
    <t xml:space="preserve">Crushing Paw</t>
  </si>
  <si>
    <t xml:space="preserve">Every 6th attack stuns the target for {v} s.</t>
  </si>
  <si>
    <t xml:space="preserve">Every 5th attack.</t>
  </si>
  <si>
    <t xml:space="preserve">The stun hits all within 3 m.</t>
  </si>
  <si>
    <t xml:space="preserve">Live (native stun). Rank II and III live.</t>
  </si>
  <si>
    <t xml:space="preserve">skill\europe\warrior_duala_stun_a</t>
  </si>
  <si>
    <t xml:space="preserve">Steadfast Aura</t>
  </si>
  <si>
    <t xml:space="preserve">Owner defense +{v}%.</t>
  </si>
  <si>
    <t xml:space="preserve">Also +5% max HP to the owner.</t>
  </si>
  <si>
    <t xml:space="preserve">Whole party within 20 m.</t>
  </si>
  <si>
    <t xml:space="preserve">Owner/party stat aura.</t>
  </si>
  <si>
    <t xml:space="preserve">skill\europe\warrior_guarda_all_block_a</t>
  </si>
  <si>
    <t xml:space="preserve">Frost spells</t>
  </si>
  <si>
    <t xml:space="preserve">Frost Nova</t>
  </si>
  <si>
    <t xml:space="preserve">Ice blast: {v}% magic damage to everything within 5 m, frostbite 3 s.</t>
  </si>
  <si>
    <t xml:space="preserve">Radius 7 m.</t>
  </si>
  <si>
    <t xml:space="preserve">Frozen targets shatter for 50% extra damage.</t>
  </si>
  <si>
    <t xml:space="preserve">attack2</t>
  </si>
  <si>
    <t xml:space="preserve">Live (native frostbite, area around the penguin). Rank II live; Rank III planned.</t>
  </si>
  <si>
    <t xml:space="preserve">skill\europe\wizard_colda_area_a</t>
  </si>
  <si>
    <t xml:space="preserve">Blizzard</t>
  </si>
  <si>
    <t xml:space="preserve">Ice storm on the target: {v}% magic damage per second for 4 s within 4 m.</t>
  </si>
  <si>
    <t xml:space="preserve">% per s</t>
  </si>
  <si>
    <t xml:space="preserve">Slows 40% inside the storm.</t>
  </si>
  <si>
    <t xml:space="preserve">Lasts 6 s.</t>
  </si>
  <si>
    <t xml:space="preserve">Ground effect with pulses (traps exist).</t>
  </si>
  <si>
    <t xml:space="preserve">skill\europe\wizard_colda_area_b</t>
  </si>
  <si>
    <t xml:space="preserve">Ice Slide</t>
  </si>
  <si>
    <t xml:space="preserve">Slides through a 10 m line for {v}% damage, chilling everything hit.</t>
  </si>
  <si>
    <t xml:space="preserve">Leaves an ice trail that slows.</t>
  </si>
  <si>
    <t xml:space="preserve">Slides back for a second hit.</t>
  </si>
  <si>
    <t xml:space="preserve">run</t>
  </si>
  <si>
    <t xml:space="preserve">Movement burst + line candidates.</t>
  </si>
  <si>
    <t xml:space="preserve">skill\europe\wizard_colda_point_a</t>
  </si>
  <si>
    <t xml:space="preserve">Deep Freeze</t>
  </si>
  <si>
    <t xml:space="preserve">Freezes one target for {v} s (bosses are slowed instead).</t>
  </si>
  <si>
    <t xml:space="preserve">Spreads to 2 more targets.</t>
  </si>
  <si>
    <t xml:space="preserve">Frozen targets take +20% from everyone.</t>
  </si>
  <si>
    <t xml:space="preserve">Live (native freeze). Rank II live; Rank III planned.</t>
  </si>
  <si>
    <t xml:space="preserve">skill\europe\wizard_colda_point_b</t>
  </si>
  <si>
    <t xml:space="preserve">Glacial Ward</t>
  </si>
  <si>
    <t xml:space="preserve">Ice shield on the owner absorbs {v}% of the owner's max HP for 8 s.</t>
  </si>
  <si>
    <t xml:space="preserve">owner hits taken</t>
  </si>
  <si>
    <t xml:space="preserve">% owner HP</t>
  </si>
  <si>
    <t xml:space="preserve">Reflects 30% of absorbed damage as cold.</t>
  </si>
  <si>
    <t xml:space="preserve">Party within 8 m get half the shield.</t>
  </si>
  <si>
    <t xml:space="preserve">Absorb shield exists for players (skills).</t>
  </si>
  <si>
    <t xml:space="preserve">skill\europe\wizard_eartha_guard_a</t>
  </si>
  <si>
    <t xml:space="preserve">Mana Spring</t>
  </si>
  <si>
    <t xml:space="preserve">Restores {v}% of the owner's max MP.</t>
  </si>
  <si>
    <t xml:space="preserve">Owner casts</t>
  </si>
  <si>
    <t xml:space="preserve">owner casts</t>
  </si>
  <si>
    <t xml:space="preserve">% MP</t>
  </si>
  <si>
    <t xml:space="preserve">Also restores half as much HP.</t>
  </si>
  <si>
    <t xml:space="preserve">The owner's next skill costs no MP.</t>
  </si>
  <si>
    <t xml:space="preserve">skill\europe\bard_recovera_mpheal_a</t>
  </si>
  <si>
    <t xml:space="preserve">Cold mastery</t>
  </si>
  <si>
    <t xml:space="preserve">Cold Mastery</t>
  </si>
  <si>
    <t xml:space="preserve">+{v}% magic attack.</t>
  </si>
  <si>
    <t xml:space="preserve">Spells ignore 10% of magic defense.</t>
  </si>
  <si>
    <t xml:space="preserve">+5% magic attack to the owner.</t>
  </si>
  <si>
    <t xml:space="preserve">Live (raises physical and magical attack). Ranks II and III planned.</t>
  </si>
  <si>
    <t xml:space="preserve">skill\europe\wizard_spiritp_cold_a</t>
  </si>
  <si>
    <t xml:space="preserve">Shatter</t>
  </si>
  <si>
    <t xml:space="preserve">+{v}% damage to frozen or frostbitten targets.</t>
  </si>
  <si>
    <t xml:space="preserve">Applies to the owner's hits too.</t>
  </si>
  <si>
    <t xml:space="preserve">Killing a frozen target freezes a neighbour.</t>
  </si>
  <si>
    <t xml:space="preserve">skill\europe\wizard_mentala_damageup_a</t>
  </si>
  <si>
    <t xml:space="preserve">Chilling Touch</t>
  </si>
  <si>
    <t xml:space="preserve">{v}% chance on hit to frostbite the target.</t>
  </si>
  <si>
    <t xml:space="preserve">Frostbite lasts 2 s longer.</t>
  </si>
  <si>
    <t xml:space="preserve">Frostbitten targets attack 20% slower.</t>
  </si>
  <si>
    <t xml:space="preserve">Live (native frostbite). Ranks II and III planned.</t>
  </si>
  <si>
    <t xml:space="preserve">skill\europe\wizard_colda_invisible_a</t>
  </si>
  <si>
    <t xml:space="preserve">Elemental flow</t>
  </si>
  <si>
    <t xml:space="preserve">Static Feathers</t>
  </si>
  <si>
    <t xml:space="preserve">{v}% chance on hit to cast Chain Lightning (proc level = skill level).</t>
  </si>
  <si>
    <t xml:space="preserve">Chain Lightning bounces 2 more times.</t>
  </si>
  <si>
    <t xml:space="preserve">Also triggers when the penguin is struck.</t>
  </si>
  <si>
    <t xml:space="preserve">Live (shock chain as a target area). Rank II live; Rank III planned.</t>
  </si>
  <si>
    <t xml:space="preserve">skill\china\lightning_storm_c</t>
  </si>
  <si>
    <t xml:space="preserve">Spell Echo</t>
  </si>
  <si>
    <t xml:space="preserve">Every 5th spell repeats at {v}% power.</t>
  </si>
  <si>
    <t xml:space="preserve">Spells</t>
  </si>
  <si>
    <t xml:space="preserve">spells</t>
  </si>
  <si>
    <t xml:space="preserve">% power</t>
  </si>
  <si>
    <t xml:space="preserve">Every 4th spell.</t>
  </si>
  <si>
    <t xml:space="preserve">The echo is free of cooldown sharing.</t>
  </si>
  <si>
    <t xml:space="preserve">Live (every Nth attack +{v}%). Rank II live; Rank III planned.</t>
  </si>
  <si>
    <t xml:space="preserve">skill\europe\wizard_psychica_light_a</t>
  </si>
  <si>
    <t xml:space="preserve">Arcane Haste</t>
  </si>
  <si>
    <t xml:space="preserve">Skill cooldowns -{v}%.</t>
  </si>
  <si>
    <t xml:space="preserve">Counter cooldowns need 1 fewer.</t>
  </si>
  <si>
    <t xml:space="preserve">Owner skill cooldowns -5%.</t>
  </si>
  <si>
    <t xml:space="preserve">skill\europe\wizard_manap_decrease_a</t>
  </si>
  <si>
    <t xml:space="preserve">Cold blood</t>
  </si>
  <si>
    <t xml:space="preserve">Frost Armor</t>
  </si>
  <si>
    <t xml:space="preserve">+{v}% defense; melee attackers are chilled.</t>
  </si>
  <si>
    <t xml:space="preserve">Chill becomes frostbite.</t>
  </si>
  <si>
    <t xml:space="preserve">Also on the owner.</t>
  </si>
  <si>
    <t xml:space="preserve">Live (defense part). Ranks II and III planned.</t>
  </si>
  <si>
    <t xml:space="preserve">skill\europe\wizard_eartha_guard_b</t>
  </si>
  <si>
    <t xml:space="preserve">Mana Shield</t>
  </si>
  <si>
    <t xml:space="preserve">{v}% of damage the penguin takes drains the owner's MP instead.</t>
  </si>
  <si>
    <t xml:space="preserve">1 MP absorbs 2 damage.</t>
  </si>
  <si>
    <t xml:space="preserve">Also covers the owner's damage.</t>
  </si>
  <si>
    <t xml:space="preserve">skill\europe\wizard_psychica_untouch_a</t>
  </si>
  <si>
    <t xml:space="preserve">Winter's Grace</t>
  </si>
  <si>
    <t xml:space="preserve">Owner and penguin +{v}% status resistance.</t>
  </si>
  <si>
    <t xml:space="preserve">% resist</t>
  </si>
  <si>
    <t xml:space="preserve">Immune to freeze.</t>
  </si>
  <si>
    <t xml:space="preserve">Status resistance exists.</t>
  </si>
  <si>
    <t xml:space="preserve">skill\europe\cleric_sainta_abnormal_a</t>
  </si>
  <si>
    <t xml:space="preserve">Aid</t>
  </si>
  <si>
    <t xml:space="preserve">Mend</t>
  </si>
  <si>
    <t xml:space="preserve">Heals the owner {v}% of max HP.</t>
  </si>
  <si>
    <t xml:space="preserve">Another 50% over 5 s.</t>
  </si>
  <si>
    <t xml:space="preserve">Heals the lowest-HP party member within 15 m instead when lower.</t>
  </si>
  <si>
    <t xml:space="preserve">Live (when the owner is below 80% HP). Rank II live; Rank III planned.</t>
  </si>
  <si>
    <t xml:space="preserve">skill\europe\cleric_heala_target_a</t>
  </si>
  <si>
    <t xml:space="preserve">Cleansing Caw</t>
  </si>
  <si>
    <t xml:space="preserve">Removes {v} harmful status(es) from the owner.</t>
  </si>
  <si>
    <t xml:space="preserve">statuses</t>
  </si>
  <si>
    <t xml:space="preserve">Party within 10 m.</t>
  </si>
  <si>
    <t xml:space="preserve">3 s immunity to statuses after the cleanse.</t>
  </si>
  <si>
    <t xml:space="preserve">Cure exists (cure items/skills).</t>
  </si>
  <si>
    <t xml:space="preserve">skill\europe\cleric_sainta_innocent_a</t>
  </si>
  <si>
    <t xml:space="preserve">Battle Cry</t>
  </si>
  <si>
    <t xml:space="preserve">Owner and crow +{v}% damage for 10 s.</t>
  </si>
  <si>
    <t xml:space="preserve">Party within 15 m.</t>
  </si>
  <si>
    <t xml:space="preserve">Also +10% attack speed.</t>
  </si>
  <si>
    <t xml:space="preserve">Owner buff (timed effect).</t>
  </si>
  <si>
    <t xml:space="preserve">skill\europe\warrior_twohanda_cry_b</t>
  </si>
  <si>
    <t xml:space="preserve">Harass</t>
  </si>
  <si>
    <t xml:space="preserve">Mark Prey</t>
  </si>
  <si>
    <t xml:space="preserve">The target takes +{v}% damage from everyone for 8 s.</t>
  </si>
  <si>
    <t xml:space="preserve">Marked target -20% defense.</t>
  </si>
  <si>
    <t xml:space="preserve">Killing the marked target resets this row.</t>
  </si>
  <si>
    <t xml:space="preserve">Live (native Decay and Weaken: defense down). Rank II live; Rank III planned.</t>
  </si>
  <si>
    <t xml:space="preserve">skill\europe\rog_stealtha_point_a</t>
  </si>
  <si>
    <t xml:space="preserve">Blinding Peck</t>
  </si>
  <si>
    <t xml:space="preserve">The target misses {v}% of its attacks for 5 s.</t>
  </si>
  <si>
    <t xml:space="preserve">% miss</t>
  </si>
  <si>
    <t xml:space="preserve">Blinded targets cannot use skills.</t>
  </si>
  <si>
    <t xml:space="preserve">Live (native Myopia). Rank II live; Rank III planned.</t>
  </si>
  <si>
    <t xml:space="preserve">skill\europe\warlock_confusiona_illusion_a</t>
  </si>
  <si>
    <t xml:space="preserve">Thieving Talons</t>
  </si>
  <si>
    <t xml:space="preserve">On a kill, {v}% chance of an extra gold heap.</t>
  </si>
  <si>
    <t xml:space="preserve">Can steal a potion instead.</t>
  </si>
  <si>
    <t xml:space="preserve">Rolls once more on the pet-gear drop table.</t>
  </si>
  <si>
    <t xml:space="preserve">Loot settlement exists.</t>
  </si>
  <si>
    <t xml:space="preserve">skill\europe\rog_daggera_slash_a</t>
  </si>
  <si>
    <t xml:space="preserve">Keen eye</t>
  </si>
  <si>
    <t xml:space="preserve">Scout's Eye</t>
  </si>
  <si>
    <t xml:space="preserve">Owner +{v}% hit rate.</t>
  </si>
  <si>
    <t xml:space="preserve">% hit</t>
  </si>
  <si>
    <t xml:space="preserve">Reveals stealthed monsters near the owner.</t>
  </si>
  <si>
    <t xml:space="preserve">+5% owner critical chance.</t>
  </si>
  <si>
    <t xml:space="preserve">skill\europe\rog_stealtha_detect_a</t>
  </si>
  <si>
    <t xml:space="preserve">Carrion Feast</t>
  </si>
  <si>
    <t xml:space="preserve">The owner heals {v}% of max HP on each kill.</t>
  </si>
  <si>
    <t xml:space="preserve">Also restores MP.</t>
  </si>
  <si>
    <t xml:space="preserve">skill\europe\warlock_confusiona_heal_a</t>
  </si>
  <si>
    <t xml:space="preserve">Feather Ward</t>
  </si>
  <si>
    <t xml:space="preserve">Owner damage taken -{v}%.</t>
  </si>
  <si>
    <t xml:space="preserve">Also -10% status duration.</t>
  </si>
  <si>
    <t xml:space="preserve">skill\europe\cleric_blessa_physical_a</t>
  </si>
  <si>
    <t xml:space="preserve">Tailwind</t>
  </si>
  <si>
    <t xml:space="preserve">Fair Winds</t>
  </si>
  <si>
    <t xml:space="preserve">Owner movement speed +{v}%.</t>
  </si>
  <si>
    <t xml:space="preserve">The crow too.</t>
  </si>
  <si>
    <t xml:space="preserve">Owner/party speed.</t>
  </si>
  <si>
    <t xml:space="preserve">skill\europe\bard_speedupa_mspeed_a</t>
  </si>
  <si>
    <t xml:space="preserve">Swift Wings</t>
  </si>
  <si>
    <t xml:space="preserve">Crow attack and movement speed +{v}%.</t>
  </si>
  <si>
    <t xml:space="preserve">Active skills cast 20% faster.</t>
  </si>
  <si>
    <t xml:space="preserve">Every 5th peck hits twice.</t>
  </si>
  <si>
    <t xml:space="preserve">skill\europe\bard_speedupa_hitrate_a</t>
  </si>
  <si>
    <t xml:space="preserve">Lucky Feather</t>
  </si>
  <si>
    <t xml:space="preserve">+{v}% chance that pet equipment drops are magic or better.</t>
  </si>
  <si>
    <t xml:space="preserve">+1 degree tier chance on rares.</t>
  </si>
  <si>
    <t xml:space="preserve">Party members' kills count too.</t>
  </si>
  <si>
    <t xml:space="preserve">Live (pet gear drop odds). Ranks II and III planned.</t>
  </si>
  <si>
    <t xml:space="preserve">skill\europe\cleric_praisep_ability_a</t>
  </si>
  <si>
    <t xml:space="preserve">Omen</t>
  </si>
  <si>
    <t xml:space="preserve">Murder of Crows</t>
  </si>
  <si>
    <t xml:space="preserve">Every 10th attack calls a flock: {v}% damage to everything within 4 m.</t>
  </si>
  <si>
    <t xml:space="preserve">Every 8th attack.</t>
  </si>
  <si>
    <t xml:space="preserve">The flock also blinds for 2 s.</t>
  </si>
  <si>
    <t xml:space="preserve">skill\europe\rog_bowa_fast_a</t>
  </si>
  <si>
    <t xml:space="preserve">Ill Omen</t>
  </si>
  <si>
    <t xml:space="preserve">Monsters within 6 m of the owner have -{v}% defense.</t>
  </si>
  <si>
    <t xml:space="preserve">Also -10% attack speed.</t>
  </si>
  <si>
    <t xml:space="preserve">Radius 10 m.</t>
  </si>
  <si>
    <t xml:space="preserve">Monster aura debuff.</t>
  </si>
  <si>
    <t xml:space="preserve">skill\europe\warlock_razea_physical_a</t>
  </si>
  <si>
    <t xml:space="preserve">Spirit Link</t>
  </si>
  <si>
    <t xml:space="preserve">{v}% of the owner's damage taken is shared with the crow.</t>
  </si>
  <si>
    <t xml:space="preserve">% shared</t>
  </si>
  <si>
    <t xml:space="preserve">Shared damage is reduced by the crow's defense.</t>
  </si>
  <si>
    <t xml:space="preserve">If the crow would die it is left at 1 HP instead (60 s cooldown).</t>
  </si>
  <si>
    <t xml:space="preserve">Damage redirect.</t>
  </si>
  <si>
    <t xml:space="preserve">skill\europe\cleric_battlea_sacrifice_a</t>
  </si>
  <si>
    <t xml:space="preserve">Gear</t>
  </si>
  <si>
    <t xml:space="preserve">One equipment family worn by every pet: 3 slots, degrees D1-D9. White base stat from Rules; blues from Affixes.</t>
  </si>
  <si>
    <t xml:space="preserve">Degree</t>
  </si>
  <si>
    <t xml:space="preserve">Collar base</t>
  </si>
  <si>
    <t xml:space="preserve">Harness base</t>
  </si>
  <si>
    <t xml:space="preserve">Charm base</t>
  </si>
  <si>
    <t xml:space="preserve">Collar: damage +%</t>
  </si>
  <si>
    <t xml:space="preserve">Harness: defense +%</t>
  </si>
  <si>
    <t xml:space="preserve">Charm: cooldown -%</t>
  </si>
  <si>
    <t xml:space="preserve">Min pet level</t>
  </si>
  <si>
    <t xml:space="preserve">Collar codename</t>
  </si>
  <si>
    <t xml:space="preserve">Collar ID</t>
  </si>
  <si>
    <t xml:space="preserve">Harness codename</t>
  </si>
  <si>
    <t xml:space="preserve">Harness ID</t>
  </si>
  <si>
    <t xml:space="preserve">Charm codename</t>
  </si>
  <si>
    <t xml:space="preserve">Charm ID</t>
  </si>
  <si>
    <t xml:space="preserve">Rawhide Collar</t>
  </si>
  <si>
    <t xml:space="preserve">Rope Harness</t>
  </si>
  <si>
    <t xml:space="preserve">Bone Charm</t>
  </si>
  <si>
    <t xml:space="preserve">ITEM_COS_PET_COLLAR_01</t>
  </si>
  <si>
    <t xml:space="preserve">ITEM_COS_PET_HARNESS_01</t>
  </si>
  <si>
    <t xml:space="preserve">ITEM_COS_PET_CHARM_01</t>
  </si>
  <si>
    <t xml:space="preserve">Studded Collar</t>
  </si>
  <si>
    <t xml:space="preserve">Leather Harness</t>
  </si>
  <si>
    <t xml:space="preserve">Fang Charm</t>
  </si>
  <si>
    <t xml:space="preserve">ITEM_COS_PET_COLLAR_02</t>
  </si>
  <si>
    <t xml:space="preserve">ITEM_COS_PET_HARNESS_02</t>
  </si>
  <si>
    <t xml:space="preserve">ITEM_COS_PET_CHARM_02</t>
  </si>
  <si>
    <t xml:space="preserve">Bronze Collar</t>
  </si>
  <si>
    <t xml:space="preserve">Studded Harness</t>
  </si>
  <si>
    <t xml:space="preserve">Jade Charm</t>
  </si>
  <si>
    <t xml:space="preserve">ITEM_COS_PET_COLLAR_03</t>
  </si>
  <si>
    <t xml:space="preserve">ITEM_COS_PET_HARNESS_03</t>
  </si>
  <si>
    <t xml:space="preserve">ITEM_COS_PET_CHARM_03</t>
  </si>
  <si>
    <t xml:space="preserve">Iron Collar</t>
  </si>
  <si>
    <t xml:space="preserve">Scale Harness</t>
  </si>
  <si>
    <t xml:space="preserve">Amber Charm</t>
  </si>
  <si>
    <t xml:space="preserve">ITEM_COS_PET_COLLAR_04</t>
  </si>
  <si>
    <t xml:space="preserve">ITEM_COS_PET_HARNESS_04</t>
  </si>
  <si>
    <t xml:space="preserve">ITEM_COS_PET_CHARM_04</t>
  </si>
  <si>
    <t xml:space="preserve">Steel Collar</t>
  </si>
  <si>
    <t xml:space="preserve">Chain Harness</t>
  </si>
  <si>
    <t xml:space="preserve">Moonstone Charm</t>
  </si>
  <si>
    <t xml:space="preserve">ITEM_COS_PET_COLLAR_05</t>
  </si>
  <si>
    <t xml:space="preserve">ITEM_COS_PET_HARNESS_05</t>
  </si>
  <si>
    <t xml:space="preserve">ITEM_COS_PET_CHARM_05</t>
  </si>
  <si>
    <t xml:space="preserve">Silver Collar</t>
  </si>
  <si>
    <t xml:space="preserve">Plate Harness</t>
  </si>
  <si>
    <t xml:space="preserve">Sunstone Charm</t>
  </si>
  <si>
    <t xml:space="preserve">ITEM_COS_PET_COLLAR_06</t>
  </si>
  <si>
    <t xml:space="preserve">ITEM_COS_PET_HARNESS_06</t>
  </si>
  <si>
    <t xml:space="preserve">ITEM_COS_PET_CHARM_06</t>
  </si>
  <si>
    <t xml:space="preserve">Gilded Collar</t>
  </si>
  <si>
    <t xml:space="preserve">Gilded Harness</t>
  </si>
  <si>
    <t xml:space="preserve">Starstone Charm</t>
  </si>
  <si>
    <t xml:space="preserve">ITEM_COS_PET_COLLAR_07</t>
  </si>
  <si>
    <t xml:space="preserve">ITEM_COS_PET_HARNESS_07</t>
  </si>
  <si>
    <t xml:space="preserve">ITEM_COS_PET_CHARM_07</t>
  </si>
  <si>
    <t xml:space="preserve">Runed Collar</t>
  </si>
  <si>
    <t xml:space="preserve">Runed Harness</t>
  </si>
  <si>
    <t xml:space="preserve">Spirit Charm</t>
  </si>
  <si>
    <t xml:space="preserve">ITEM_COS_PET_COLLAR_08</t>
  </si>
  <si>
    <t xml:space="preserve">ITEM_COS_PET_HARNESS_08</t>
  </si>
  <si>
    <t xml:space="preserve">ITEM_COS_PET_CHARM_08</t>
  </si>
  <si>
    <t xml:space="preserve">Dragonbone Collar</t>
  </si>
  <si>
    <t xml:space="preserve">Dragonscale Harness</t>
  </si>
  <si>
    <t xml:space="preserve">Primal Charm</t>
  </si>
  <si>
    <t xml:space="preserve">ITEM_COS_PET_COLLAR_09</t>
  </si>
  <si>
    <t xml:space="preserve">ITEM_COS_PET_HARNESS_09</t>
  </si>
  <si>
    <t xml:space="preserve">ITEM_COS_PET_CHARM_09</t>
  </si>
  <si>
    <t xml:space="preserve">Slots: Collar (offense blues), Harness (defense blues), Charm (utility, skill and proc blues). Item names follow D2: [Prefix] Base [of Suffix], e.g. 'Savage Iron Collar of Storms'.</t>
  </si>
  <si>
    <t xml:space="preserve">Rarity: Normal (white, 0 blues), Magic (blue, 1-2), Rare (yellow, 3-5). Odds by degree on Degrees; rare names use two random words (D2 rare naming).</t>
  </si>
  <si>
    <t xml:space="preserve">Degrees</t>
  </si>
  <si>
    <t xml:space="preserve">Drop chance and blue odds per degree. A monster drops its level band's degree (uniques one higher).</t>
  </si>
  <si>
    <t xml:space="preserve">Monster level from</t>
  </si>
  <si>
    <t xml:space="preserve">Monster level to</t>
  </si>
  <si>
    <t xml:space="preserve">Drop % per kill (General)</t>
  </si>
  <si>
    <t xml:space="preserve">Champion %</t>
  </si>
  <si>
    <t xml:space="preserve">Giant %</t>
  </si>
  <si>
    <t xml:space="preserve">Unique %</t>
  </si>
  <si>
    <t xml:space="preserve">Magic chance</t>
  </si>
  <si>
    <t xml:space="preserve">Rare chance</t>
  </si>
  <si>
    <t xml:space="preserve">Normal chance</t>
  </si>
  <si>
    <t xml:space="preserve">Rare: 3 blues weight</t>
  </si>
  <si>
    <t xml:space="preserve">Rare: 4 blues weight</t>
  </si>
  <si>
    <t xml:space="preserve">Rare: 5 blues weight</t>
  </si>
  <si>
    <t xml:space="preserve">Expected blues per item</t>
  </si>
  <si>
    <t xml:space="preserve">Affix tiers available</t>
  </si>
  <si>
    <t xml:space="preserve">Tier rule (D2 alvl): an affix tier can roll when its Min degree &lt;= the item's degree; Affixes &gt; Weight picks among the eligible tiers, so higher degrees reach better tiers and, via rare odds, more blues.</t>
  </si>
  <si>
    <t xml:space="preserve">Pet level to wear: Min pet level = degree's Monster level from (column B), so pets and owners progress together.</t>
  </si>
  <si>
    <t xml:space="preserve">Affixes (blues)</t>
  </si>
  <si>
    <t xml:space="preserve">One affix per Group per item; a Tier rolls when its Min degree &lt;= item degree. {v} is a roll between Value min and max.</t>
  </si>
  <si>
    <t xml:space="preserve">Affix ID</t>
  </si>
  <si>
    <t xml:space="preserve">Name</t>
  </si>
  <si>
    <t xml:space="preserve">Kind</t>
  </si>
  <si>
    <t xml:space="preserve">Group</t>
  </si>
  <si>
    <t xml:space="preserve">Category</t>
  </si>
  <si>
    <t xml:space="preserve">Slots</t>
  </si>
  <si>
    <t xml:space="preserve">Tier</t>
  </si>
  <si>
    <t xml:space="preserve">Min degree</t>
  </si>
  <si>
    <t xml:space="preserve">Value min</t>
  </si>
  <si>
    <t xml:space="preserve">Value max</t>
  </si>
  <si>
    <t xml:space="preserve">Weight</t>
  </si>
  <si>
    <t xml:space="preserve">Code</t>
  </si>
  <si>
    <t xml:space="preserve">DmgPhys1</t>
  </si>
  <si>
    <t xml:space="preserve">Savage</t>
  </si>
  <si>
    <t xml:space="preserve">Prefix</t>
  </si>
  <si>
    <t xml:space="preserve">DmgPhys</t>
  </si>
  <si>
    <t xml:space="preserve">Offense</t>
  </si>
  <si>
    <t xml:space="preserve">Collar, Charm</t>
  </si>
  <si>
    <t xml:space="preserve">+{v}% physical damage</t>
  </si>
  <si>
    <t xml:space="preserve">%</t>
  </si>
  <si>
    <t xml:space="preserve">All</t>
  </si>
  <si>
    <t xml:space="preserve">Attack multiplier (as Predator).</t>
  </si>
  <si>
    <t xml:space="preserve">DmgPhys2</t>
  </si>
  <si>
    <t xml:space="preserve">Brutal</t>
  </si>
  <si>
    <t xml:space="preserve">DmgPhys3</t>
  </si>
  <si>
    <t xml:space="preserve">Ferocious</t>
  </si>
  <si>
    <t xml:space="preserve">DmgPhys4</t>
  </si>
  <si>
    <t xml:space="preserve">Merciless</t>
  </si>
  <si>
    <t xml:space="preserve">DmgMag1</t>
  </si>
  <si>
    <t xml:space="preserve">Sorcerous</t>
  </si>
  <si>
    <t xml:space="preserve">DmgMag</t>
  </si>
  <si>
    <t xml:space="preserve">+{v}% magic damage</t>
  </si>
  <si>
    <t xml:space="preserve">Magic attack multiplier.</t>
  </si>
  <si>
    <t xml:space="preserve">DmgMag2</t>
  </si>
  <si>
    <t xml:space="preserve">Arcane</t>
  </si>
  <si>
    <t xml:space="preserve">DmgMag3</t>
  </si>
  <si>
    <t xml:space="preserve">Mystic</t>
  </si>
  <si>
    <t xml:space="preserve">DmgMag4</t>
  </si>
  <si>
    <t xml:space="preserve">Eldritch</t>
  </si>
  <si>
    <t xml:space="preserve">Crit1</t>
  </si>
  <si>
    <t xml:space="preserve">Keen</t>
  </si>
  <si>
    <t xml:space="preserve">Crit</t>
  </si>
  <si>
    <t xml:space="preserve">Collar</t>
  </si>
  <si>
    <t xml:space="preserve">+{v}% critical chance</t>
  </si>
  <si>
    <t xml:space="preserve">Critical roll exists.</t>
  </si>
  <si>
    <t xml:space="preserve">Crit2</t>
  </si>
  <si>
    <t xml:space="preserve">Deadly</t>
  </si>
  <si>
    <t xml:space="preserve">Crit3</t>
  </si>
  <si>
    <t xml:space="preserve">Lethal</t>
  </si>
  <si>
    <t xml:space="preserve">Fire1</t>
  </si>
  <si>
    <t xml:space="preserve">Smoldering</t>
  </si>
  <si>
    <t xml:space="preserve">Fire</t>
  </si>
  <si>
    <t xml:space="preserve">Collar, Harness</t>
  </si>
  <si>
    <t xml:space="preserve">Adds {v} fire damage; 5% chance to burn</t>
  </si>
  <si>
    <t xml:space="preserve">damage</t>
  </si>
  <si>
    <t xml:space="preserve">Native burn status.</t>
  </si>
  <si>
    <t xml:space="preserve">Fire2</t>
  </si>
  <si>
    <t xml:space="preserve">Burning</t>
  </si>
  <si>
    <t xml:space="preserve">Fire3</t>
  </si>
  <si>
    <t xml:space="preserve">Blazing</t>
  </si>
  <si>
    <t xml:space="preserve">Fire4</t>
  </si>
  <si>
    <t xml:space="preserve">Infernal</t>
  </si>
  <si>
    <t xml:space="preserve">Cold1</t>
  </si>
  <si>
    <t xml:space="preserve">Chilling</t>
  </si>
  <si>
    <t xml:space="preserve">Cold</t>
  </si>
  <si>
    <t xml:space="preserve">Adds {v} cold damage; 5% chance to frostbite</t>
  </si>
  <si>
    <t xml:space="preserve">Native frostbite status.</t>
  </si>
  <si>
    <t xml:space="preserve">Cold2</t>
  </si>
  <si>
    <t xml:space="preserve">Frozen</t>
  </si>
  <si>
    <t xml:space="preserve">Cold3</t>
  </si>
  <si>
    <t xml:space="preserve">Glacial</t>
  </si>
  <si>
    <t xml:space="preserve">Cold4</t>
  </si>
  <si>
    <t xml:space="preserve">Hibernal</t>
  </si>
  <si>
    <t xml:space="preserve">Lightning1</t>
  </si>
  <si>
    <t xml:space="preserve">Static</t>
  </si>
  <si>
    <t xml:space="preserve">Lightning</t>
  </si>
  <si>
    <t xml:space="preserve">Adds 1-{v} lightning damage; 5% chance to shock</t>
  </si>
  <si>
    <t xml:space="preserve">Native shock status.</t>
  </si>
  <si>
    <t xml:space="preserve">Lightning2</t>
  </si>
  <si>
    <t xml:space="preserve">Shocking</t>
  </si>
  <si>
    <t xml:space="preserve">Lightning3</t>
  </si>
  <si>
    <t xml:space="preserve">Arcing</t>
  </si>
  <si>
    <t xml:space="preserve">Lightning4</t>
  </si>
  <si>
    <t xml:space="preserve">Thundering</t>
  </si>
  <si>
    <t xml:space="preserve">Poison1</t>
  </si>
  <si>
    <t xml:space="preserve">Septic</t>
  </si>
  <si>
    <t xml:space="preserve">Poison</t>
  </si>
  <si>
    <t xml:space="preserve">Adds {v} poison damage over 4 s</t>
  </si>
  <si>
    <t xml:space="preserve">Native poison status.</t>
  </si>
  <si>
    <t xml:space="preserve">Poison2</t>
  </si>
  <si>
    <t xml:space="preserve">Venomous</t>
  </si>
  <si>
    <t xml:space="preserve">Poison3</t>
  </si>
  <si>
    <t xml:space="preserve">Toxic</t>
  </si>
  <si>
    <t xml:space="preserve">Poison4</t>
  </si>
  <si>
    <t xml:space="preserve">Pestilent</t>
  </si>
  <si>
    <t xml:space="preserve">Leech1</t>
  </si>
  <si>
    <t xml:space="preserve">Vampiric</t>
  </si>
  <si>
    <t xml:space="preserve">Leech</t>
  </si>
  <si>
    <t xml:space="preserve">{v}% of damage dealt heals the pet</t>
  </si>
  <si>
    <t xml:space="preserve">Pet heal on committed hit.</t>
  </si>
  <si>
    <t xml:space="preserve">Leech2</t>
  </si>
  <si>
    <t xml:space="preserve">Bloodthirsty</t>
  </si>
  <si>
    <t xml:space="preserve">Leech3</t>
  </si>
  <si>
    <t xml:space="preserve">Sanguine</t>
  </si>
  <si>
    <t xml:space="preserve">Crush1</t>
  </si>
  <si>
    <t xml:space="preserve">Crushing</t>
  </si>
  <si>
    <t xml:space="preserve">Crush</t>
  </si>
  <si>
    <t xml:space="preserve">{v}% chance of a crushing blow (10% of current HP; 2.5% on bosses)</t>
  </si>
  <si>
    <t xml:space="preserve">Fatal path exists; new damage formula.</t>
  </si>
  <si>
    <t xml:space="preserve">Crush2</t>
  </si>
  <si>
    <t xml:space="preserve">Shattering</t>
  </si>
  <si>
    <t xml:space="preserve">Deadly1</t>
  </si>
  <si>
    <t xml:space="preserve">Fierce</t>
  </si>
  <si>
    <t xml:space="preserve">{v}% chance of double damage</t>
  </si>
  <si>
    <t xml:space="preserve">D2 deadly strike.</t>
  </si>
  <si>
    <t xml:space="preserve">Deadly2</t>
  </si>
  <si>
    <t xml:space="preserve">Murderous</t>
  </si>
  <si>
    <t xml:space="preserve">Pierce1</t>
  </si>
  <si>
    <t xml:space="preserve">Piercing</t>
  </si>
  <si>
    <t xml:space="preserve">Pierce</t>
  </si>
  <si>
    <t xml:space="preserve">Ignores {v}% of the target's defense</t>
  </si>
  <si>
    <t xml:space="preserve">Defense input to the formula.</t>
  </si>
  <si>
    <t xml:space="preserve">Pierce2</t>
  </si>
  <si>
    <t xml:space="preserve">Sundering</t>
  </si>
  <si>
    <t xml:space="preserve">Def1</t>
  </si>
  <si>
    <t xml:space="preserve">Sturdy</t>
  </si>
  <si>
    <t xml:space="preserve">Def</t>
  </si>
  <si>
    <t xml:space="preserve">Harness</t>
  </si>
  <si>
    <t xml:space="preserve">+{v}% physical and magical defense</t>
  </si>
  <si>
    <t xml:space="preserve">Defense multiplier (as Thick Hide).</t>
  </si>
  <si>
    <t xml:space="preserve">Def2</t>
  </si>
  <si>
    <t xml:space="preserve">Stalwart</t>
  </si>
  <si>
    <t xml:space="preserve">Def3</t>
  </si>
  <si>
    <t xml:space="preserve">Adamant</t>
  </si>
  <si>
    <t xml:space="preserve">Def4</t>
  </si>
  <si>
    <t xml:space="preserve">Unbreakable</t>
  </si>
  <si>
    <t xml:space="preserve">HP1</t>
  </si>
  <si>
    <t xml:space="preserve">Hale</t>
  </si>
  <si>
    <t xml:space="preserve">HP</t>
  </si>
  <si>
    <t xml:space="preserve">+{v}% max HP</t>
  </si>
  <si>
    <t xml:space="preserve">COS max HP parameter.</t>
  </si>
  <si>
    <t xml:space="preserve">HP2</t>
  </si>
  <si>
    <t xml:space="preserve">Vigorous</t>
  </si>
  <si>
    <t xml:space="preserve">HP3</t>
  </si>
  <si>
    <t xml:space="preserve">Titanic</t>
  </si>
  <si>
    <t xml:space="preserve">HP4</t>
  </si>
  <si>
    <t xml:space="preserve">Colossal</t>
  </si>
  <si>
    <t xml:space="preserve">Thorns1</t>
  </si>
  <si>
    <t xml:space="preserve">Bramble</t>
  </si>
  <si>
    <t xml:space="preserve">Attackers take {v} damage</t>
  </si>
  <si>
    <t xml:space="preserve">Damage return exists for players.</t>
  </si>
  <si>
    <t xml:space="preserve">Thorns2</t>
  </si>
  <si>
    <t xml:space="preserve">Thorned</t>
  </si>
  <si>
    <t xml:space="preserve">Thorns3</t>
  </si>
  <si>
    <t xml:space="preserve">Razorback</t>
  </si>
  <si>
    <t xml:space="preserve">Speed1</t>
  </si>
  <si>
    <t xml:space="preserve">of Haste</t>
  </si>
  <si>
    <t xml:space="preserve">Suffix</t>
  </si>
  <si>
    <t xml:space="preserve">Speed</t>
  </si>
  <si>
    <t xml:space="preserve">Collar, Harness, Charm</t>
  </si>
  <si>
    <t xml:space="preserve">+{v}% attack speed</t>
  </si>
  <si>
    <t xml:space="preserve">Pet action speed parameter.</t>
  </si>
  <si>
    <t xml:space="preserve">Speed2</t>
  </si>
  <si>
    <t xml:space="preserve">of Swiftness</t>
  </si>
  <si>
    <t xml:space="preserve">Speed3</t>
  </si>
  <si>
    <t xml:space="preserve">of Alacrity</t>
  </si>
  <si>
    <t xml:space="preserve">Move1</t>
  </si>
  <si>
    <t xml:space="preserve">of the Fox</t>
  </si>
  <si>
    <t xml:space="preserve">Move</t>
  </si>
  <si>
    <t xml:space="preserve">Harness, Charm</t>
  </si>
  <si>
    <t xml:space="preserve">+{v}% pet movement speed</t>
  </si>
  <si>
    <t xml:space="preserve">COS run speed parameter.</t>
  </si>
  <si>
    <t xml:space="preserve">Move2</t>
  </si>
  <si>
    <t xml:space="preserve">of the Hare</t>
  </si>
  <si>
    <t xml:space="preserve">Move3</t>
  </si>
  <si>
    <t xml:space="preserve">of the Cheetah</t>
  </si>
  <si>
    <t xml:space="preserve">OwnerMove1</t>
  </si>
  <si>
    <t xml:space="preserve">of the Pack</t>
  </si>
  <si>
    <t xml:space="preserve">OwnerMove</t>
  </si>
  <si>
    <t xml:space="preserve">Charm</t>
  </si>
  <si>
    <t xml:space="preserve">+{v}% owner movement speed while the pet is out</t>
  </si>
  <si>
    <t xml:space="preserve">Owner speed parameter.</t>
  </si>
  <si>
    <t xml:space="preserve">OwnerMove2</t>
  </si>
  <si>
    <t xml:space="preserve">of the Wind</t>
  </si>
  <si>
    <t xml:space="preserve">Resist1</t>
  </si>
  <si>
    <t xml:space="preserve">of Warding</t>
  </si>
  <si>
    <t xml:space="preserve">Resist</t>
  </si>
  <si>
    <t xml:space="preserve">+{v}% resistance to all statuses</t>
  </si>
  <si>
    <t xml:space="preserve">Resist2</t>
  </si>
  <si>
    <t xml:space="preserve">of Shelter</t>
  </si>
  <si>
    <t xml:space="preserve">Resist3</t>
  </si>
  <si>
    <t xml:space="preserve">of Sanctuary</t>
  </si>
  <si>
    <t xml:space="preserve">Regen1</t>
  </si>
  <si>
    <t xml:space="preserve">of Regrowth</t>
  </si>
  <si>
    <t xml:space="preserve">Regen</t>
  </si>
  <si>
    <t xml:space="preserve">Regenerates {v} HP every 2 s</t>
  </si>
  <si>
    <t xml:space="preserve">COS recovery.</t>
  </si>
  <si>
    <t xml:space="preserve">Regen2</t>
  </si>
  <si>
    <t xml:space="preserve">of Renewal</t>
  </si>
  <si>
    <t xml:space="preserve">Regen3</t>
  </si>
  <si>
    <t xml:space="preserve">of the Troll</t>
  </si>
  <si>
    <t xml:space="preserve">Steady1</t>
  </si>
  <si>
    <t xml:space="preserve">of Balance</t>
  </si>
  <si>
    <t xml:space="preserve">Steady</t>
  </si>
  <si>
    <t xml:space="preserve">{v}% chance to ignore knockdown and stun</t>
  </si>
  <si>
    <t xml:space="preserve">Status admission roll.</t>
  </si>
  <si>
    <t xml:space="preserve">Steady2</t>
  </si>
  <si>
    <t xml:space="preserve">of the Mountain</t>
  </si>
  <si>
    <t xml:space="preserve">TreeBear1</t>
  </si>
  <si>
    <t xml:space="preserve">of the Guardian</t>
  </si>
  <si>
    <t xml:space="preserve">TreeBear</t>
  </si>
  <si>
    <t xml:space="preserve">+{v} to all Bear skills</t>
  </si>
  <si>
    <t xml:space="preserve">D2 '+skills'; may exceed max level.</t>
  </si>
  <si>
    <t xml:space="preserve">TreeBear2</t>
  </si>
  <si>
    <t xml:space="preserve">of the Bulwark</t>
  </si>
  <si>
    <t xml:space="preserve">TreeWolf1</t>
  </si>
  <si>
    <t xml:space="preserve">of the Hunter</t>
  </si>
  <si>
    <t xml:space="preserve">TreeWolf</t>
  </si>
  <si>
    <t xml:space="preserve">+{v} to all Wolf skills</t>
  </si>
  <si>
    <t xml:space="preserve">D2 '+skills'.</t>
  </si>
  <si>
    <t xml:space="preserve">TreeWolf2</t>
  </si>
  <si>
    <t xml:space="preserve">of the Alpha</t>
  </si>
  <si>
    <t xml:space="preserve">TreePenguin1</t>
  </si>
  <si>
    <t xml:space="preserve">of the Sage</t>
  </si>
  <si>
    <t xml:space="preserve">TreePenguin</t>
  </si>
  <si>
    <t xml:space="preserve">+{v} to all Penguin skills</t>
  </si>
  <si>
    <t xml:space="preserve">TreePenguin2</t>
  </si>
  <si>
    <t xml:space="preserve">of the Glacier</t>
  </si>
  <si>
    <t xml:space="preserve">TreeCrow1</t>
  </si>
  <si>
    <t xml:space="preserve">of the Oracle</t>
  </si>
  <si>
    <t xml:space="preserve">TreeCrow</t>
  </si>
  <si>
    <t xml:space="preserve">+{v} to all Crow skills</t>
  </si>
  <si>
    <t xml:space="preserve">TreeCrow2</t>
  </si>
  <si>
    <t xml:space="preserve">of the Raven King</t>
  </si>
  <si>
    <t xml:space="preserve">OneSkill1</t>
  </si>
  <si>
    <t xml:space="preserve">of Focus</t>
  </si>
  <si>
    <t xml:space="preserve">OneSkill</t>
  </si>
  <si>
    <t xml:space="preserve">+{v} to one random skill of the pet type</t>
  </si>
  <si>
    <t xml:space="preserve">Skill named on the item at roll time.</t>
  </si>
  <si>
    <t xml:space="preserve">OneSkill2</t>
  </si>
  <si>
    <t xml:space="preserve">of Devotion</t>
  </si>
  <si>
    <t xml:space="preserve">OneSkill3</t>
  </si>
  <si>
    <t xml:space="preserve">of Mastery</t>
  </si>
  <si>
    <t xml:space="preserve">Cooldown1</t>
  </si>
  <si>
    <t xml:space="preserve">of Quickening</t>
  </si>
  <si>
    <t xml:space="preserve">Cooldown</t>
  </si>
  <si>
    <t xml:space="preserve">Skill cooldowns -{v}%</t>
  </si>
  <si>
    <t xml:space="preserve">Applies to timer and counter cooldowns.</t>
  </si>
  <si>
    <t xml:space="preserve">Cooldown2</t>
  </si>
  <si>
    <t xml:space="preserve">of Celerity</t>
  </si>
  <si>
    <t xml:space="preserve">Cooldown3</t>
  </si>
  <si>
    <t xml:space="preserve">of Timelessness</t>
  </si>
  <si>
    <t xml:space="preserve">Hunger1</t>
  </si>
  <si>
    <t xml:space="preserve">of Satiation</t>
  </si>
  <si>
    <t xml:space="preserve">Hunger</t>
  </si>
  <si>
    <t xml:space="preserve">Utility</t>
  </si>
  <si>
    <t xml:space="preserve">Charm, Harness</t>
  </si>
  <si>
    <t xml:space="preserve">-{v}% hunger (HGP) drain</t>
  </si>
  <si>
    <t xml:space="preserve">Satiety tick.</t>
  </si>
  <si>
    <t xml:space="preserve">Hunger2</t>
  </si>
  <si>
    <t xml:space="preserve">of Plenty</t>
  </si>
  <si>
    <t xml:space="preserve">PetExp1</t>
  </si>
  <si>
    <t xml:space="preserve">of Learning</t>
  </si>
  <si>
    <t xml:space="preserve">PetExp</t>
  </si>
  <si>
    <t xml:space="preserve">+{v}% pet experience</t>
  </si>
  <si>
    <t xml:space="preserve">Pet EXP pace.</t>
  </si>
  <si>
    <t xml:space="preserve">PetExp2</t>
  </si>
  <si>
    <t xml:space="preserve">of Wisdom</t>
  </si>
  <si>
    <t xml:space="preserve">Find1</t>
  </si>
  <si>
    <t xml:space="preserve">of Fortune</t>
  </si>
  <si>
    <t xml:space="preserve">Find</t>
  </si>
  <si>
    <t xml:space="preserve">+{v}% chance that pet equipment drops are magic or better</t>
  </si>
  <si>
    <t xml:space="preserve">D2 magic find, pet gear only.</t>
  </si>
  <si>
    <t xml:space="preserve">Find2</t>
  </si>
  <si>
    <t xml:space="preserve">of Riches</t>
  </si>
  <si>
    <t xml:space="preserve">ProcChain1</t>
  </si>
  <si>
    <t xml:space="preserve">of Storms</t>
  </si>
  <si>
    <t xml:space="preserve">ProcChain</t>
  </si>
  <si>
    <t xml:space="preserve">Proc</t>
  </si>
  <si>
    <t xml:space="preserve">{v}% chance to cast Chain Lightning on striking (level = 2 x degree)</t>
  </si>
  <si>
    <t xml:space="preserve">Proc engine; see Procs.</t>
  </si>
  <si>
    <t xml:space="preserve">ProcChain2</t>
  </si>
  <si>
    <t xml:space="preserve">of the Tempest</t>
  </si>
  <si>
    <t xml:space="preserve">ProcChain3</t>
  </si>
  <si>
    <t xml:space="preserve">of Thunder Gods</t>
  </si>
  <si>
    <t xml:space="preserve">ProcNova1</t>
  </si>
  <si>
    <t xml:space="preserve">of Winter</t>
  </si>
  <si>
    <t xml:space="preserve">ProcNova</t>
  </si>
  <si>
    <t xml:space="preserve">{v}% chance to cast Frost Nova when struck (level = 2 x degree)</t>
  </si>
  <si>
    <t xml:space="preserve">Proc engine.</t>
  </si>
  <si>
    <t xml:space="preserve">ProcNova2</t>
  </si>
  <si>
    <t xml:space="preserve">ProcNova3</t>
  </si>
  <si>
    <t xml:space="preserve">of the Frozen North</t>
  </si>
  <si>
    <t xml:space="preserve">ProcFire1</t>
  </si>
  <si>
    <t xml:space="preserve">of Embers</t>
  </si>
  <si>
    <t xml:space="preserve">ProcFire</t>
  </si>
  <si>
    <t xml:space="preserve">{v}% chance to cast Fire Burst on striking</t>
  </si>
  <si>
    <t xml:space="preserve">ProcFire2</t>
  </si>
  <si>
    <t xml:space="preserve">of the Inferno</t>
  </si>
  <si>
    <t xml:space="preserve">ProcPoison1</t>
  </si>
  <si>
    <t xml:space="preserve">of Plague</t>
  </si>
  <si>
    <t xml:space="preserve">ProcPoison</t>
  </si>
  <si>
    <t xml:space="preserve">{v}% chance to cast Poison Cloud when struck</t>
  </si>
  <si>
    <t xml:space="preserve">ProcPoison2</t>
  </si>
  <si>
    <t xml:space="preserve">of Pestilence</t>
  </si>
  <si>
    <t xml:space="preserve">ProcHowl1</t>
  </si>
  <si>
    <t xml:space="preserve">of Terror</t>
  </si>
  <si>
    <t xml:space="preserve">ProcHowl</t>
  </si>
  <si>
    <t xml:space="preserve">{v}% chance to cast Terror (fear) when struck</t>
  </si>
  <si>
    <t xml:space="preserve">Proc engine; fear AI.</t>
  </si>
  <si>
    <t xml:space="preserve">ProcHowl2</t>
  </si>
  <si>
    <t xml:space="preserve">of Dread</t>
  </si>
  <si>
    <t xml:space="preserve">ProcMend1</t>
  </si>
  <si>
    <t xml:space="preserve">of Mercy</t>
  </si>
  <si>
    <t xml:space="preserve">ProcMend</t>
  </si>
  <si>
    <t xml:space="preserve">{v}% chance to cast Mend on the owner on striking</t>
  </si>
  <si>
    <t xml:space="preserve">ProcMend2</t>
  </si>
  <si>
    <t xml:space="preserve">of Grace</t>
  </si>
  <si>
    <t xml:space="preserve">ProcCorpse1</t>
  </si>
  <si>
    <t xml:space="preserve">of Ruin</t>
  </si>
  <si>
    <t xml:space="preserve">ProcCorpse</t>
  </si>
  <si>
    <t xml:space="preserve">{v}% chance on a kill to cast Corpse Burst</t>
  </si>
  <si>
    <t xml:space="preserve">Proc engine; on-kill hook.</t>
  </si>
  <si>
    <t xml:space="preserve">ProcCorpse2</t>
  </si>
  <si>
    <t xml:space="preserve">of Carnage</t>
  </si>
  <si>
    <t xml:space="preserve">Phoenix1</t>
  </si>
  <si>
    <t xml:space="preserve">of the Phoenix</t>
  </si>
  <si>
    <t xml:space="preserve">Phoenix</t>
  </si>
  <si>
    <t xml:space="preserve">{v}% chance to revive at 30% HP on death (once per 5 min)</t>
  </si>
  <si>
    <t xml:space="preserve">Pet death path; very rare.</t>
  </si>
  <si>
    <t xml:space="preserve">Affixes per slot (formula):</t>
  </si>
  <si>
    <t xml:space="preserve">Procs</t>
  </si>
  <si>
    <t xml:space="preserve">Skills that affixes ('chance to cast') and some pet skills call. Level comes from the affix (2 x degree) or the pet skill level.</t>
  </si>
  <si>
    <t xml:space="preserve">Value at level 1</t>
  </si>
  <si>
    <t xml:space="preserve">Value at level 18 (D9)</t>
  </si>
  <si>
    <t xml:space="preserve">Radius / targets</t>
  </si>
  <si>
    <t xml:space="preserve">Visual reuse</t>
  </si>
  <si>
    <t xml:space="preserve">Chain Lightning</t>
  </si>
  <si>
    <t xml:space="preserve">Lightning that jumps between enemies for {v} damage each.</t>
  </si>
  <si>
    <t xml:space="preserve">3 + level/3 jumps, 8 m</t>
  </si>
  <si>
    <t xml:space="preserve">Native lightning chain skill effect</t>
  </si>
  <si>
    <t xml:space="preserve">Multi-target chain; shock status.</t>
  </si>
  <si>
    <t xml:space="preserve">Cold burst around the pet for {v} damage, frostbite 3 s.</t>
  </si>
  <si>
    <t xml:space="preserve">5 m</t>
  </si>
  <si>
    <t xml:space="preserve">Native cold area effect</t>
  </si>
  <si>
    <t xml:space="preserve">Area candidates exist.</t>
  </si>
  <si>
    <t xml:space="preserve">Fire Burst</t>
  </si>
  <si>
    <t xml:space="preserve">Flames on the target for {v} damage, burn 4 s.</t>
  </si>
  <si>
    <t xml:space="preserve">3 m around target</t>
  </si>
  <si>
    <t xml:space="preserve">Native fire burst effect</t>
  </si>
  <si>
    <t xml:space="preserve">Burn status exists.</t>
  </si>
  <si>
    <t xml:space="preserve">Poison Cloud</t>
  </si>
  <si>
    <t xml:space="preserve">Cloud around the pet: {v} poison damage over 5 s.</t>
  </si>
  <si>
    <t xml:space="preserve">4 m</t>
  </si>
  <si>
    <t xml:space="preserve">Native poison effect</t>
  </si>
  <si>
    <t xml:space="preserve">Poison status exists.</t>
  </si>
  <si>
    <t xml:space="preserve">Terror</t>
  </si>
  <si>
    <t xml:space="preserve">Up to {v} monsters near the pet flee for 2 s.</t>
  </si>
  <si>
    <t xml:space="preserve">6 m</t>
  </si>
  <si>
    <t xml:space="preserve">Pet emote0 + fear icon</t>
  </si>
  <si>
    <t xml:space="preserve">Flee AI state (shared with Terrifying Howl).</t>
  </si>
  <si>
    <t xml:space="preserve">Owner</t>
  </si>
  <si>
    <t xml:space="preserve">Native heal effect</t>
  </si>
  <si>
    <t xml:space="preserve">Heal on the owner.</t>
  </si>
  <si>
    <t xml:space="preserve">Corpse Burst</t>
  </si>
  <si>
    <t xml:space="preserve">The slain monster explodes for {v}% of its max HP to enemies within 4 m.</t>
  </si>
  <si>
    <t xml:space="preserve">% of HP</t>
  </si>
  <si>
    <t xml:space="preserve">Native explosion effect</t>
  </si>
  <si>
    <t xml:space="preserve">On-kill hook in kill settlement.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</si>
</sst>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%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7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0"/>
    <col collapsed="false" customWidth="true" hidden="false" outlineLevel="0" max="3" min="3" style="1" width="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60" hidden="false" customHeight="true" outlineLevel="0" collapsed="false">
      <c r="A4" s="4" t="s">
        <v>2</v>
      </c>
      <c r="B4" s="5" t="s">
        <v>3</v>
      </c>
    </row>
    <row r="5" customFormat="false" ht="60" hidden="false" customHeight="true" outlineLevel="0" collapsed="false">
      <c r="A5" s="4" t="s">
        <v>4</v>
      </c>
      <c r="B5" s="5" t="s">
        <v>5</v>
      </c>
    </row>
    <row r="6" customFormat="false" ht="60" hidden="false" customHeight="true" outlineLevel="0" collapsed="false">
      <c r="A6" s="4" t="s">
        <v>6</v>
      </c>
      <c r="B6" s="5" t="s">
        <v>7</v>
      </c>
    </row>
    <row r="7" customFormat="false" ht="60" hidden="false" customHeight="true" outlineLevel="0" collapsed="false">
      <c r="A7" s="4" t="s">
        <v>8</v>
      </c>
      <c r="B7" s="5" t="s">
        <v>9</v>
      </c>
    </row>
    <row r="8" customFormat="false" ht="60" hidden="false" customHeight="true" outlineLevel="0" collapsed="false">
      <c r="A8" s="4" t="s">
        <v>10</v>
      </c>
      <c r="B8" s="5" t="s">
        <v>11</v>
      </c>
    </row>
    <row r="9" customFormat="false" ht="60" hidden="false" customHeight="true" outlineLevel="0" collapsed="false">
      <c r="A9" s="4" t="s">
        <v>12</v>
      </c>
      <c r="B9" s="5" t="s">
        <v>13</v>
      </c>
    </row>
    <row r="10" customFormat="false" ht="60" hidden="false" customHeight="true" outlineLevel="0" collapsed="false">
      <c r="A10" s="4" t="s">
        <v>14</v>
      </c>
      <c r="B10" s="5" t="s">
        <v>15</v>
      </c>
    </row>
    <row r="11" customFormat="false" ht="60" hidden="false" customHeight="true" outlineLevel="0" collapsed="false">
      <c r="A11" s="4" t="s">
        <v>16</v>
      </c>
      <c r="B11" s="5" t="s">
        <v>17</v>
      </c>
    </row>
    <row r="12" customFormat="false" ht="60" hidden="false" customHeight="true" outlineLevel="0" collapsed="false">
      <c r="A12" s="4" t="s">
        <v>18</v>
      </c>
      <c r="B12" s="5" t="s">
        <v>19</v>
      </c>
    </row>
    <row r="14" customFormat="false" ht="15" hidden="false" customHeight="true" outlineLevel="0" collapsed="false">
      <c r="A14" s="6" t="s">
        <v>20</v>
      </c>
    </row>
    <row r="15" customFormat="false" ht="31.5" hidden="false" customHeight="true" outlineLevel="0" collapsed="false">
      <c r="A15" s="7" t="s">
        <v>21</v>
      </c>
      <c r="B15" s="7" t="s">
        <v>22</v>
      </c>
      <c r="C15" s="7" t="s">
        <v>23</v>
      </c>
    </row>
    <row r="16" customFormat="false" ht="15" hidden="false" customHeight="true" outlineLevel="0" collapsed="false">
      <c r="A16" s="8" t="s">
        <v>24</v>
      </c>
      <c r="B16" s="9" t="s">
        <v>25</v>
      </c>
      <c r="C16" s="8" t="s">
        <v>26</v>
      </c>
    </row>
    <row r="17" customFormat="false" ht="15" hidden="false" customHeight="true" outlineLevel="0" collapsed="false">
      <c r="A17" s="8"/>
      <c r="B17" s="9"/>
      <c r="C17" s="8"/>
    </row>
    <row r="18" customFormat="false" ht="15" hidden="false" customHeight="true" outlineLevel="0" collapsed="false">
      <c r="A18" s="8"/>
      <c r="B18" s="9"/>
      <c r="C1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7.25" hidden="false" customHeight="true" outlineLevel="0" collapsed="false">
      <c r="A1" s="2" t="s">
        <v>27</v>
      </c>
    </row>
    <row r="2" customFormat="false" ht="15" hidden="false" customHeight="true" outlineLevel="0" collapsed="false">
      <c r="A2" s="3" t="s">
        <v>28</v>
      </c>
    </row>
    <row r="4" customFormat="false" ht="31.5" hidden="false" customHeight="true" outlineLevel="0" collapsed="false">
      <c r="A4" s="7" t="s">
        <v>29</v>
      </c>
      <c r="B4" s="7" t="s">
        <v>30</v>
      </c>
      <c r="C4" s="7" t="s">
        <v>31</v>
      </c>
      <c r="D4" s="7" t="s">
        <v>32</v>
      </c>
    </row>
    <row r="5" customFormat="false" ht="15" hidden="false" customHeight="true" outlineLevel="0" collapsed="false">
      <c r="A5" s="10" t="s">
        <v>33</v>
      </c>
      <c r="B5" s="8" t="n">
        <v>10</v>
      </c>
      <c r="C5" s="10" t="s">
        <v>34</v>
      </c>
      <c r="D5" s="11" t="s">
        <v>35</v>
      </c>
    </row>
    <row r="6" customFormat="false" ht="15" hidden="false" customHeight="true" outlineLevel="0" collapsed="false">
      <c r="A6" s="10" t="s">
        <v>36</v>
      </c>
      <c r="B6" s="8" t="n">
        <v>5</v>
      </c>
      <c r="C6" s="10" t="s">
        <v>37</v>
      </c>
      <c r="D6" s="11" t="s">
        <v>38</v>
      </c>
    </row>
    <row r="7" customFormat="false" ht="15" hidden="false" customHeight="true" outlineLevel="0" collapsed="false">
      <c r="A7" s="10" t="s">
        <v>39</v>
      </c>
      <c r="B7" s="8" t="n">
        <v>10</v>
      </c>
      <c r="C7" s="10" t="s">
        <v>37</v>
      </c>
      <c r="D7" s="11" t="s">
        <v>40</v>
      </c>
    </row>
    <row r="8" customFormat="false" ht="15" hidden="false" customHeight="true" outlineLevel="0" collapsed="false">
      <c r="A8" s="10" t="s">
        <v>41</v>
      </c>
      <c r="B8" s="8" t="n">
        <v>4</v>
      </c>
      <c r="C8" s="10" t="s">
        <v>42</v>
      </c>
      <c r="D8" s="11" t="s">
        <v>43</v>
      </c>
    </row>
    <row r="9" customFormat="false" ht="15" hidden="false" customHeight="true" outlineLevel="0" collapsed="false">
      <c r="A9" s="10" t="s">
        <v>44</v>
      </c>
      <c r="B9" s="8" t="n">
        <v>3</v>
      </c>
      <c r="C9" s="10" t="s">
        <v>42</v>
      </c>
      <c r="D9" s="11" t="s">
        <v>45</v>
      </c>
    </row>
    <row r="10" customFormat="false" ht="15" hidden="false" customHeight="true" outlineLevel="0" collapsed="false">
      <c r="A10" s="10" t="s">
        <v>46</v>
      </c>
      <c r="B10" s="8" t="n">
        <v>5</v>
      </c>
      <c r="C10" s="10" t="s">
        <v>42</v>
      </c>
      <c r="D10" s="11" t="s">
        <v>47</v>
      </c>
    </row>
    <row r="11" customFormat="false" ht="15" hidden="false" customHeight="true" outlineLevel="0" collapsed="false">
      <c r="A11" s="10" t="s">
        <v>48</v>
      </c>
      <c r="B11" s="8" t="n">
        <v>1</v>
      </c>
      <c r="C11" s="10" t="s">
        <v>49</v>
      </c>
      <c r="D11" s="11" t="s">
        <v>50</v>
      </c>
    </row>
    <row r="12" customFormat="false" ht="15" hidden="false" customHeight="true" outlineLevel="0" collapsed="false">
      <c r="A12" s="10" t="s">
        <v>51</v>
      </c>
      <c r="B12" s="8" t="n">
        <v>20</v>
      </c>
      <c r="C12" s="10" t="s">
        <v>49</v>
      </c>
      <c r="D12" s="11" t="s">
        <v>52</v>
      </c>
    </row>
    <row r="13" customFormat="false" ht="15" hidden="false" customHeight="true" outlineLevel="0" collapsed="false">
      <c r="A13" s="10" t="s">
        <v>53</v>
      </c>
      <c r="B13" s="8" t="n">
        <v>1</v>
      </c>
      <c r="C13" s="10" t="s">
        <v>49</v>
      </c>
      <c r="D13" s="11"/>
    </row>
    <row r="14" customFormat="false" ht="15" hidden="false" customHeight="true" outlineLevel="0" collapsed="false">
      <c r="A14" s="10" t="s">
        <v>54</v>
      </c>
      <c r="B14" s="8" t="n">
        <v>10</v>
      </c>
      <c r="C14" s="10" t="s">
        <v>49</v>
      </c>
      <c r="D14" s="11"/>
    </row>
    <row r="15" customFormat="false" ht="15" hidden="false" customHeight="true" outlineLevel="0" collapsed="false">
      <c r="A15" s="10" t="s">
        <v>55</v>
      </c>
      <c r="B15" s="8" t="n">
        <v>30</v>
      </c>
      <c r="C15" s="10" t="s">
        <v>49</v>
      </c>
      <c r="D15" s="11"/>
    </row>
    <row r="16" customFormat="false" ht="15" hidden="false" customHeight="true" outlineLevel="0" collapsed="false">
      <c r="A16" s="10" t="s">
        <v>56</v>
      </c>
      <c r="B16" s="8" t="s">
        <v>57</v>
      </c>
      <c r="C16" s="10"/>
      <c r="D16" s="11" t="s">
        <v>58</v>
      </c>
    </row>
    <row r="17" customFormat="false" ht="15" hidden="false" customHeight="true" outlineLevel="0" collapsed="false">
      <c r="A17" s="10" t="s">
        <v>59</v>
      </c>
      <c r="B17" s="8" t="n">
        <v>1</v>
      </c>
      <c r="C17" s="10" t="s">
        <v>60</v>
      </c>
      <c r="D17" s="11" t="s">
        <v>61</v>
      </c>
    </row>
    <row r="18" customFormat="false" ht="15" hidden="false" customHeight="true" outlineLevel="0" collapsed="false">
      <c r="A18" s="10" t="s">
        <v>62</v>
      </c>
      <c r="B18" s="8" t="n">
        <v>2</v>
      </c>
      <c r="C18" s="10" t="s">
        <v>63</v>
      </c>
      <c r="D18" s="11" t="s">
        <v>64</v>
      </c>
    </row>
    <row r="19" customFormat="false" ht="15" hidden="false" customHeight="true" outlineLevel="0" collapsed="false">
      <c r="A19" s="10" t="s">
        <v>65</v>
      </c>
      <c r="B19" s="8" t="n">
        <v>5</v>
      </c>
      <c r="C19" s="10" t="s">
        <v>66</v>
      </c>
      <c r="D19" s="11" t="s">
        <v>67</v>
      </c>
    </row>
    <row r="20" customFormat="false" ht="15" hidden="false" customHeight="true" outlineLevel="0" collapsed="false">
      <c r="A20" s="10" t="s">
        <v>68</v>
      </c>
      <c r="B20" s="12" t="n">
        <v>0.4</v>
      </c>
      <c r="C20" s="10" t="s">
        <v>69</v>
      </c>
      <c r="D20" s="11" t="s">
        <v>70</v>
      </c>
    </row>
    <row r="21" customFormat="false" ht="15" hidden="false" customHeight="true" outlineLevel="0" collapsed="false">
      <c r="A21" s="10" t="s">
        <v>71</v>
      </c>
      <c r="B21" s="8" t="n">
        <v>1</v>
      </c>
      <c r="C21" s="10" t="s">
        <v>72</v>
      </c>
      <c r="D21" s="11" t="s">
        <v>73</v>
      </c>
    </row>
    <row r="22" customFormat="false" ht="15" hidden="false" customHeight="true" outlineLevel="0" collapsed="false">
      <c r="A22" s="10" t="s">
        <v>74</v>
      </c>
      <c r="B22" s="8" t="n">
        <v>3</v>
      </c>
      <c r="C22" s="10" t="s">
        <v>72</v>
      </c>
      <c r="D22" s="11"/>
    </row>
    <row r="23" customFormat="false" ht="15" hidden="false" customHeight="true" outlineLevel="0" collapsed="false">
      <c r="A23" s="10" t="s">
        <v>75</v>
      </c>
      <c r="B23" s="8" t="n">
        <v>8</v>
      </c>
      <c r="C23" s="10" t="s">
        <v>72</v>
      </c>
      <c r="D23" s="11"/>
    </row>
    <row r="24" customFormat="false" ht="15" hidden="false" customHeight="true" outlineLevel="0" collapsed="false">
      <c r="A24" s="10" t="s">
        <v>76</v>
      </c>
      <c r="B24" s="8" t="n">
        <v>100</v>
      </c>
      <c r="C24" s="10" t="s">
        <v>72</v>
      </c>
      <c r="D24" s="11" t="s">
        <v>77</v>
      </c>
    </row>
    <row r="25" customFormat="false" ht="15" hidden="false" customHeight="true" outlineLevel="0" collapsed="false">
      <c r="A25" s="10" t="s">
        <v>78</v>
      </c>
      <c r="B25" s="8" t="n">
        <v>2</v>
      </c>
      <c r="C25" s="10" t="s">
        <v>79</v>
      </c>
      <c r="D25" s="11" t="s">
        <v>80</v>
      </c>
    </row>
    <row r="26" customFormat="false" ht="15" hidden="false" customHeight="true" outlineLevel="0" collapsed="false">
      <c r="A26" s="10" t="s">
        <v>81</v>
      </c>
      <c r="B26" s="8" t="n">
        <v>3</v>
      </c>
      <c r="C26" s="10" t="s">
        <v>82</v>
      </c>
      <c r="D26" s="11" t="s">
        <v>83</v>
      </c>
    </row>
    <row r="27" customFormat="false" ht="15" hidden="false" customHeight="true" outlineLevel="0" collapsed="false">
      <c r="A27" s="10" t="s">
        <v>84</v>
      </c>
      <c r="B27" s="8" t="n">
        <v>1</v>
      </c>
      <c r="C27" s="10" t="s">
        <v>85</v>
      </c>
      <c r="D27" s="11" t="s">
        <v>86</v>
      </c>
    </row>
    <row r="28" customFormat="false" ht="15" hidden="false" customHeight="true" outlineLevel="0" collapsed="false">
      <c r="A28" s="10" t="s">
        <v>87</v>
      </c>
      <c r="B28" s="8" t="s">
        <v>88</v>
      </c>
      <c r="C28" s="10"/>
      <c r="D28" s="11" t="s">
        <v>89</v>
      </c>
    </row>
    <row r="30" customFormat="false" ht="15" hidden="false" customHeight="true" outlineLevel="0" collapsed="false">
      <c r="A30" s="4" t="s">
        <v>90</v>
      </c>
    </row>
    <row r="31" customFormat="false" ht="31.5" hidden="false" customHeight="true" outlineLevel="0" collapsed="false">
      <c r="A31" s="7" t="s">
        <v>91</v>
      </c>
      <c r="B31" s="7" t="s">
        <v>92</v>
      </c>
    </row>
    <row r="32" customFormat="false" ht="15" hidden="false" customHeight="true" outlineLevel="0" collapsed="false">
      <c r="A32" s="8" t="n">
        <v>1</v>
      </c>
      <c r="B32" s="10" t="n">
        <f aca="false">1+INT(A32/Rules!$B$9)</f>
        <v>1</v>
      </c>
    </row>
    <row r="33" customFormat="false" ht="15" hidden="false" customHeight="true" outlineLevel="0" collapsed="false">
      <c r="A33" s="8" t="n">
        <v>17</v>
      </c>
      <c r="B33" s="10" t="n">
        <f aca="false">1+INT(A33/Rules!$B$9)</f>
        <v>6</v>
      </c>
    </row>
    <row r="34" customFormat="false" ht="15" hidden="false" customHeight="true" outlineLevel="0" collapsed="false">
      <c r="A34" s="8" t="n">
        <v>30</v>
      </c>
      <c r="B34" s="10" t="n">
        <f aca="false">1+INT(A34/Rules!$B$9)</f>
        <v>11</v>
      </c>
    </row>
    <row r="35" customFormat="false" ht="15" hidden="false" customHeight="true" outlineLevel="0" collapsed="false">
      <c r="A35" s="8" t="n">
        <v>60</v>
      </c>
      <c r="B35" s="10" t="n">
        <f aca="false">1+INT(A35/Rules!$B$9)</f>
        <v>21</v>
      </c>
    </row>
    <row r="36" customFormat="false" ht="15" hidden="false" customHeight="true" outlineLevel="0" collapsed="false">
      <c r="A36" s="8" t="n">
        <v>90</v>
      </c>
      <c r="B36" s="10" t="n">
        <f aca="false">1+INT(A36/Rules!$B$9)</f>
        <v>31</v>
      </c>
    </row>
    <row r="37" customFormat="false" ht="15" hidden="false" customHeight="true" outlineLevel="0" collapsed="false">
      <c r="A37" s="8" t="n">
        <v>140</v>
      </c>
      <c r="B37" s="10" t="n">
        <f aca="false">1+INT(A37/Rules!$B$9)</f>
        <v>47</v>
      </c>
    </row>
    <row r="38" customFormat="false" ht="15" hidden="false" customHeight="true" outlineLevel="0" collapsed="false">
      <c r="A38" s="13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44"/>
    <col collapsed="false" customWidth="true" hidden="false" outlineLevel="0" max="7" min="7" style="1" width="30"/>
    <col collapsed="false" customWidth="true" hidden="false" outlineLevel="0" max="8" min="8" style="1" width="50"/>
  </cols>
  <sheetData>
    <row r="1" customFormat="false" ht="17.25" hidden="false" customHeight="true" outlineLevel="0" collapsed="false">
      <c r="A1" s="2" t="s">
        <v>94</v>
      </c>
    </row>
    <row r="2" customFormat="false" ht="15" hidden="false" customHeight="true" outlineLevel="0" collapsed="false">
      <c r="A2" s="3" t="s">
        <v>95</v>
      </c>
    </row>
    <row r="4" customFormat="false" ht="31.5" hidden="false" customHeight="true" outlineLevel="0" collapsed="false">
      <c r="A4" s="7" t="s">
        <v>96</v>
      </c>
      <c r="B4" s="7" t="s">
        <v>97</v>
      </c>
      <c r="C4" s="7" t="s">
        <v>98</v>
      </c>
      <c r="D4" s="7" t="s">
        <v>99</v>
      </c>
      <c r="E4" s="7" t="s">
        <v>100</v>
      </c>
      <c r="F4" s="7" t="s">
        <v>101</v>
      </c>
      <c r="G4" s="7" t="s">
        <v>102</v>
      </c>
      <c r="H4" s="7" t="s">
        <v>103</v>
      </c>
    </row>
    <row r="5" customFormat="false" ht="23.25" hidden="false" customHeight="true" outlineLevel="0" collapsed="false">
      <c r="A5" s="10" t="s">
        <v>104</v>
      </c>
      <c r="B5" s="8" t="s">
        <v>105</v>
      </c>
      <c r="C5" s="11" t="s">
        <v>106</v>
      </c>
      <c r="D5" s="11" t="s">
        <v>107</v>
      </c>
      <c r="E5" s="9" t="s">
        <v>108</v>
      </c>
      <c r="F5" s="11" t="s">
        <v>109</v>
      </c>
      <c r="G5" s="9" t="s">
        <v>110</v>
      </c>
      <c r="H5" s="9" t="s">
        <v>111</v>
      </c>
    </row>
    <row r="6" customFormat="false" ht="23.25" hidden="false" customHeight="true" outlineLevel="0" collapsed="false">
      <c r="A6" s="10" t="s">
        <v>112</v>
      </c>
      <c r="B6" s="8" t="s">
        <v>113</v>
      </c>
      <c r="C6" s="11" t="s">
        <v>114</v>
      </c>
      <c r="D6" s="11" t="s">
        <v>115</v>
      </c>
      <c r="E6" s="9" t="s">
        <v>116</v>
      </c>
      <c r="F6" s="11" t="s">
        <v>117</v>
      </c>
      <c r="G6" s="9" t="s">
        <v>118</v>
      </c>
      <c r="H6" s="9" t="s">
        <v>119</v>
      </c>
    </row>
    <row r="7" customFormat="false" ht="23.25" hidden="false" customHeight="true" outlineLevel="0" collapsed="false">
      <c r="A7" s="10" t="s">
        <v>120</v>
      </c>
      <c r="B7" s="8" t="s">
        <v>121</v>
      </c>
      <c r="C7" s="11" t="s">
        <v>122</v>
      </c>
      <c r="D7" s="11" t="s">
        <v>123</v>
      </c>
      <c r="E7" s="9" t="s">
        <v>124</v>
      </c>
      <c r="F7" s="11" t="s">
        <v>125</v>
      </c>
      <c r="G7" s="9" t="s">
        <v>126</v>
      </c>
      <c r="H7" s="9" t="s">
        <v>127</v>
      </c>
    </row>
    <row r="8" customFormat="false" ht="15" hidden="false" customHeight="true" outlineLevel="0" collapsed="false">
      <c r="A8" s="10" t="s">
        <v>128</v>
      </c>
      <c r="B8" s="8" t="s">
        <v>129</v>
      </c>
      <c r="C8" s="11" t="s">
        <v>130</v>
      </c>
      <c r="D8" s="11" t="s">
        <v>131</v>
      </c>
      <c r="E8" s="9" t="s">
        <v>132</v>
      </c>
      <c r="F8" s="11" t="s">
        <v>133</v>
      </c>
      <c r="G8" s="9" t="s">
        <v>134</v>
      </c>
      <c r="H8" s="9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4" topLeftCell="F47" activePane="bottomRight" state="frozen"/>
      <selection pane="topLeft" activeCell="A1" activeCellId="0" sqref="A1"/>
      <selection pane="topRight" activeCell="F1" activeCellId="0" sqref="F1"/>
      <selection pane="bottomLeft" activeCell="A47" activeCellId="0" sqref="A4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7"/>
    <col collapsed="false" customWidth="true" hidden="false" outlineLevel="0" max="5" min="5" style="1" width="18"/>
    <col collapsed="false" customWidth="true" hidden="false" outlineLevel="0" max="6" min="6" style="1" width="46"/>
    <col collapsed="false" customWidth="true" hidden="false" outlineLevel="0" max="7" min="7" style="1" width="14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2" min="11" style="1" width="8"/>
    <col collapsed="false" customWidth="true" hidden="false" outlineLevel="0" max="13" min="13" style="1" width="10"/>
    <col collapsed="false" customWidth="true" hidden="false" outlineLevel="0" max="14" min="14" style="1" width="7"/>
    <col collapsed="false" customWidth="true" hidden="false" outlineLevel="0" max="16" min="15" style="1" width="9"/>
    <col collapsed="false" customWidth="true" hidden="false" outlineLevel="0" max="18" min="17" style="1" width="40"/>
    <col collapsed="false" customWidth="true" hidden="false" outlineLevel="0" max="20" min="19" style="1" width="9"/>
    <col collapsed="false" customWidth="true" hidden="false" outlineLevel="0" max="21" min="21" style="1" width="12"/>
    <col collapsed="false" customWidth="true" hidden="false" outlineLevel="0" max="22" min="22" style="1" width="36"/>
    <col collapsed="false" customWidth="true" hidden="false" outlineLevel="0" max="23" min="23" style="1" width="14"/>
    <col collapsed="false" customWidth="true" hidden="false" outlineLevel="0" max="24" min="24" style="1" width="6"/>
    <col collapsed="false" customWidth="true" hidden="false" outlineLevel="0" max="25" min="25" style="1" width="30"/>
  </cols>
  <sheetData>
    <row r="1" customFormat="false" ht="17.25" hidden="false" customHeight="true" outlineLevel="0" collapsed="false">
      <c r="A1" s="2" t="s">
        <v>136</v>
      </c>
    </row>
    <row r="2" customFormat="false" ht="15" hidden="false" customHeight="true" outlineLevel="0" collapsed="false">
      <c r="A2" s="3" t="s">
        <v>137</v>
      </c>
    </row>
    <row r="4" customFormat="false" ht="31.5" hidden="false" customHeight="true" outlineLevel="0" collapsed="false">
      <c r="A4" s="7" t="s">
        <v>96</v>
      </c>
      <c r="B4" s="7" t="s">
        <v>138</v>
      </c>
      <c r="C4" s="7" t="s">
        <v>139</v>
      </c>
      <c r="D4" s="7" t="s">
        <v>140</v>
      </c>
      <c r="E4" s="7" t="s">
        <v>141</v>
      </c>
      <c r="F4" s="7" t="s">
        <v>142</v>
      </c>
      <c r="G4" s="7" t="s">
        <v>143</v>
      </c>
      <c r="H4" s="7" t="s">
        <v>144</v>
      </c>
      <c r="I4" s="7" t="s">
        <v>145</v>
      </c>
      <c r="J4" s="7" t="s">
        <v>146</v>
      </c>
      <c r="K4" s="7" t="s">
        <v>147</v>
      </c>
      <c r="L4" s="7" t="s">
        <v>148</v>
      </c>
      <c r="M4" s="7" t="s">
        <v>149</v>
      </c>
      <c r="N4" s="7" t="s">
        <v>150</v>
      </c>
      <c r="O4" s="7" t="s">
        <v>151</v>
      </c>
      <c r="P4" s="7" t="s">
        <v>152</v>
      </c>
      <c r="Q4" s="7" t="s">
        <v>153</v>
      </c>
      <c r="R4" s="7" t="s">
        <v>154</v>
      </c>
      <c r="S4" s="7" t="s">
        <v>155</v>
      </c>
      <c r="T4" s="7" t="s">
        <v>156</v>
      </c>
      <c r="U4" s="7" t="s">
        <v>157</v>
      </c>
      <c r="V4" s="7" t="s">
        <v>158</v>
      </c>
      <c r="W4" s="7" t="s">
        <v>159</v>
      </c>
      <c r="X4" s="7" t="s">
        <v>160</v>
      </c>
      <c r="Y4" s="7" t="s">
        <v>161</v>
      </c>
    </row>
    <row r="5" customFormat="false" ht="23.25" hidden="false" customHeight="true" outlineLevel="0" collapsed="false">
      <c r="A5" s="10" t="s">
        <v>112</v>
      </c>
      <c r="B5" s="10" t="s">
        <v>162</v>
      </c>
      <c r="C5" s="8" t="s">
        <v>163</v>
      </c>
      <c r="D5" s="10" t="n">
        <v>1</v>
      </c>
      <c r="E5" s="8" t="s">
        <v>164</v>
      </c>
      <c r="F5" s="9" t="s">
        <v>165</v>
      </c>
      <c r="G5" s="8" t="s">
        <v>166</v>
      </c>
      <c r="H5" s="8" t="n">
        <v>25</v>
      </c>
      <c r="I5" s="8" t="s">
        <v>63</v>
      </c>
      <c r="J5" s="8" t="n">
        <v>-0.5</v>
      </c>
      <c r="K5" s="8" t="n">
        <v>3</v>
      </c>
      <c r="L5" s="8" t="n">
        <v>0.5</v>
      </c>
      <c r="M5" s="8" t="s">
        <v>167</v>
      </c>
      <c r="N5" s="14" t="n">
        <f aca="false">Rules!$B$5</f>
        <v>10</v>
      </c>
      <c r="O5" s="10" t="n">
        <f aca="false">K5+L5*(N5-1)</f>
        <v>7.5</v>
      </c>
      <c r="P5" s="10" t="n">
        <f aca="false">IF(H5="","",H5+IF(J5="",0,J5)*(N5-1))</f>
        <v>20.5</v>
      </c>
      <c r="Q5" s="9" t="s">
        <v>168</v>
      </c>
      <c r="R5" s="9" t="s">
        <v>169</v>
      </c>
      <c r="S5" s="10" t="n">
        <f aca="false">INDEX(Rules!$B$11:$B$15,MATCH("Row unlock: "&amp;B5,Rules!$A$11:$A$15,0))+(D5-1)*Rules!$B$10</f>
        <v>1</v>
      </c>
      <c r="T5" s="10" t="n">
        <f aca="false">S5+(N5-1)*Rules!$B$8</f>
        <v>37</v>
      </c>
      <c r="U5" s="8" t="s">
        <v>170</v>
      </c>
      <c r="V5" s="9" t="s">
        <v>171</v>
      </c>
      <c r="W5" s="8" t="s">
        <v>172</v>
      </c>
      <c r="X5" s="15" t="n">
        <v>1</v>
      </c>
      <c r="Y5" s="15" t="s">
        <v>173</v>
      </c>
    </row>
    <row r="6" customFormat="false" ht="15" hidden="false" customHeight="true" outlineLevel="0" collapsed="false">
      <c r="A6" s="10" t="s">
        <v>112</v>
      </c>
      <c r="B6" s="10" t="s">
        <v>162</v>
      </c>
      <c r="C6" s="8" t="s">
        <v>163</v>
      </c>
      <c r="D6" s="10" t="n">
        <v>2</v>
      </c>
      <c r="E6" s="8" t="s">
        <v>174</v>
      </c>
      <c r="F6" s="9" t="s">
        <v>175</v>
      </c>
      <c r="G6" s="8" t="s">
        <v>176</v>
      </c>
      <c r="H6" s="8" t="n">
        <v>12</v>
      </c>
      <c r="I6" s="8" t="s">
        <v>177</v>
      </c>
      <c r="J6" s="8" t="n">
        <v>-0.5</v>
      </c>
      <c r="K6" s="8" t="n">
        <v>1</v>
      </c>
      <c r="L6" s="8" t="n">
        <v>0.15</v>
      </c>
      <c r="M6" s="8" t="s">
        <v>63</v>
      </c>
      <c r="N6" s="14" t="n">
        <f aca="false">Rules!$B$5</f>
        <v>10</v>
      </c>
      <c r="O6" s="10" t="n">
        <f aca="false">K6+L6*(N6-1)</f>
        <v>2.35</v>
      </c>
      <c r="P6" s="10" t="n">
        <f aca="false">IF(H6="","",H6+IF(J6="",0,J6)*(N6-1))</f>
        <v>7.5</v>
      </c>
      <c r="Q6" s="9" t="s">
        <v>178</v>
      </c>
      <c r="R6" s="9" t="s">
        <v>179</v>
      </c>
      <c r="S6" s="10" t="n">
        <f aca="false">INDEX(Rules!$B$11:$B$15,MATCH("Row unlock: "&amp;B6,Rules!$A$11:$A$15,0))+(D6-1)*Rules!$B$10</f>
        <v>6</v>
      </c>
      <c r="T6" s="10" t="n">
        <f aca="false">S6+(N6-1)*Rules!$B$8</f>
        <v>42</v>
      </c>
      <c r="U6" s="8" t="s">
        <v>180</v>
      </c>
      <c r="V6" s="9" t="s">
        <v>181</v>
      </c>
      <c r="W6" s="8" t="s">
        <v>172</v>
      </c>
      <c r="X6" s="15" t="n">
        <v>2</v>
      </c>
      <c r="Y6" s="15" t="s">
        <v>182</v>
      </c>
    </row>
    <row r="7" customFormat="false" ht="23.25" hidden="false" customHeight="true" outlineLevel="0" collapsed="false">
      <c r="A7" s="10" t="s">
        <v>112</v>
      </c>
      <c r="B7" s="10" t="s">
        <v>162</v>
      </c>
      <c r="C7" s="8" t="s">
        <v>163</v>
      </c>
      <c r="D7" s="10" t="n">
        <v>3</v>
      </c>
      <c r="E7" s="8" t="s">
        <v>183</v>
      </c>
      <c r="F7" s="9" t="s">
        <v>184</v>
      </c>
      <c r="G7" s="8" t="s">
        <v>185</v>
      </c>
      <c r="H7" s="8" t="n">
        <v>4</v>
      </c>
      <c r="I7" s="8" t="s">
        <v>186</v>
      </c>
      <c r="J7" s="8" t="n">
        <v>-0.2</v>
      </c>
      <c r="K7" s="8" t="n">
        <v>2</v>
      </c>
      <c r="L7" s="8" t="n">
        <v>0.4</v>
      </c>
      <c r="M7" s="8" t="s">
        <v>167</v>
      </c>
      <c r="N7" s="14" t="n">
        <f aca="false">Rules!$B$5</f>
        <v>10</v>
      </c>
      <c r="O7" s="10" t="n">
        <f aca="false">K7+L7*(N7-1)</f>
        <v>5.6</v>
      </c>
      <c r="P7" s="10" t="n">
        <f aca="false">IF(H7="","",H7+IF(J7="",0,J7)*(N7-1))</f>
        <v>2.2</v>
      </c>
      <c r="Q7" s="9" t="s">
        <v>187</v>
      </c>
      <c r="R7" s="9" t="s">
        <v>188</v>
      </c>
      <c r="S7" s="10" t="n">
        <f aca="false">INDEX(Rules!$B$11:$B$15,MATCH("Row unlock: "&amp;B7,Rules!$A$11:$A$15,0))+(D7-1)*Rules!$B$10</f>
        <v>11</v>
      </c>
      <c r="T7" s="10" t="n">
        <f aca="false">S7+(N7-1)*Rules!$B$8</f>
        <v>47</v>
      </c>
      <c r="U7" s="8" t="s">
        <v>170</v>
      </c>
      <c r="V7" s="9" t="s">
        <v>189</v>
      </c>
      <c r="W7" s="8" t="s">
        <v>190</v>
      </c>
      <c r="X7" s="15" t="n">
        <v>3</v>
      </c>
      <c r="Y7" s="15" t="s">
        <v>191</v>
      </c>
    </row>
    <row r="8" customFormat="false" ht="23.25" hidden="false" customHeight="true" outlineLevel="0" collapsed="false">
      <c r="A8" s="10" t="s">
        <v>112</v>
      </c>
      <c r="B8" s="10" t="s">
        <v>192</v>
      </c>
      <c r="C8" s="8" t="s">
        <v>193</v>
      </c>
      <c r="D8" s="10" t="n">
        <v>1</v>
      </c>
      <c r="E8" s="8" t="s">
        <v>194</v>
      </c>
      <c r="F8" s="9" t="s">
        <v>195</v>
      </c>
      <c r="G8" s="8" t="s">
        <v>166</v>
      </c>
      <c r="H8" s="8" t="n">
        <v>12</v>
      </c>
      <c r="I8" s="8" t="s">
        <v>63</v>
      </c>
      <c r="J8" s="8" t="n">
        <v>-0.3</v>
      </c>
      <c r="K8" s="8" t="n">
        <v>120</v>
      </c>
      <c r="L8" s="8" t="n">
        <v>5</v>
      </c>
      <c r="M8" s="8" t="s">
        <v>79</v>
      </c>
      <c r="N8" s="14" t="n">
        <f aca="false">Rules!$B$5</f>
        <v>10</v>
      </c>
      <c r="O8" s="10" t="n">
        <f aca="false">K8+L8*(N8-1)</f>
        <v>165</v>
      </c>
      <c r="P8" s="10" t="n">
        <f aca="false">IF(H8="","",H8+IF(J8="",0,J8)*(N8-1))</f>
        <v>9.3</v>
      </c>
      <c r="Q8" s="9" t="s">
        <v>196</v>
      </c>
      <c r="R8" s="9" t="s">
        <v>197</v>
      </c>
      <c r="S8" s="10" t="n">
        <f aca="false">INDEX(Rules!$B$11:$B$15,MATCH("Row unlock: "&amp;B8,Rules!$A$11:$A$15,0))+(D8-1)*Rules!$B$10</f>
        <v>20</v>
      </c>
      <c r="T8" s="10" t="n">
        <f aca="false">S8+(N8-1)*Rules!$B$8</f>
        <v>56</v>
      </c>
      <c r="U8" s="8" t="s">
        <v>180</v>
      </c>
      <c r="V8" s="9" t="s">
        <v>198</v>
      </c>
      <c r="W8" s="8" t="s">
        <v>172</v>
      </c>
      <c r="X8" s="15" t="n">
        <v>4</v>
      </c>
      <c r="Y8" s="15" t="s">
        <v>199</v>
      </c>
    </row>
    <row r="9" customFormat="false" ht="15" hidden="false" customHeight="true" outlineLevel="0" collapsed="false">
      <c r="A9" s="10" t="s">
        <v>112</v>
      </c>
      <c r="B9" s="10" t="s">
        <v>192</v>
      </c>
      <c r="C9" s="8" t="s">
        <v>193</v>
      </c>
      <c r="D9" s="10" t="n">
        <v>2</v>
      </c>
      <c r="E9" s="8" t="s">
        <v>200</v>
      </c>
      <c r="F9" s="9" t="s">
        <v>201</v>
      </c>
      <c r="G9" s="8" t="s">
        <v>176</v>
      </c>
      <c r="H9" s="8" t="n">
        <v>20</v>
      </c>
      <c r="I9" s="8" t="s">
        <v>177</v>
      </c>
      <c r="J9" s="8" t="n">
        <v>-1</v>
      </c>
      <c r="K9" s="8" t="n">
        <v>25</v>
      </c>
      <c r="L9" s="8" t="n">
        <v>3</v>
      </c>
      <c r="M9" s="8" t="s">
        <v>202</v>
      </c>
      <c r="N9" s="14" t="n">
        <f aca="false">Rules!$B$5</f>
        <v>10</v>
      </c>
      <c r="O9" s="10" t="n">
        <f aca="false">K9+L9*(N9-1)</f>
        <v>52</v>
      </c>
      <c r="P9" s="10" t="n">
        <f aca="false">IF(H9="","",H9+IF(J9="",0,J9)*(N9-1))</f>
        <v>11</v>
      </c>
      <c r="Q9" s="9" t="s">
        <v>203</v>
      </c>
      <c r="R9" s="9" t="s">
        <v>204</v>
      </c>
      <c r="S9" s="10" t="n">
        <f aca="false">INDEX(Rules!$B$11:$B$15,MATCH("Row unlock: "&amp;B9,Rules!$A$11:$A$15,0))+(D9-1)*Rules!$B$10</f>
        <v>25</v>
      </c>
      <c r="T9" s="10" t="n">
        <f aca="false">S9+(N9-1)*Rules!$B$8</f>
        <v>61</v>
      </c>
      <c r="U9" s="8" t="s">
        <v>170</v>
      </c>
      <c r="V9" s="9" t="s">
        <v>205</v>
      </c>
      <c r="W9" s="8" t="s">
        <v>172</v>
      </c>
      <c r="X9" s="15" t="n">
        <v>5</v>
      </c>
      <c r="Y9" s="15" t="s">
        <v>206</v>
      </c>
    </row>
    <row r="10" customFormat="false" ht="23.25" hidden="false" customHeight="true" outlineLevel="0" collapsed="false">
      <c r="A10" s="10" t="s">
        <v>112</v>
      </c>
      <c r="B10" s="10" t="s">
        <v>192</v>
      </c>
      <c r="C10" s="8" t="s">
        <v>193</v>
      </c>
      <c r="D10" s="10" t="n">
        <v>3</v>
      </c>
      <c r="E10" s="8" t="s">
        <v>207</v>
      </c>
      <c r="F10" s="9" t="s">
        <v>208</v>
      </c>
      <c r="G10" s="8" t="s">
        <v>166</v>
      </c>
      <c r="H10" s="8" t="n">
        <v>18</v>
      </c>
      <c r="I10" s="8" t="s">
        <v>63</v>
      </c>
      <c r="J10" s="8" t="n">
        <v>-0.5</v>
      </c>
      <c r="K10" s="8" t="n">
        <v>140</v>
      </c>
      <c r="L10" s="8" t="n">
        <v>6</v>
      </c>
      <c r="M10" s="8" t="s">
        <v>79</v>
      </c>
      <c r="N10" s="14" t="n">
        <f aca="false">Rules!$B$5</f>
        <v>10</v>
      </c>
      <c r="O10" s="10" t="n">
        <f aca="false">K10+L10*(N10-1)</f>
        <v>194</v>
      </c>
      <c r="P10" s="10" t="n">
        <f aca="false">IF(H10="","",H10+IF(J10="",0,J10)*(N10-1))</f>
        <v>13.5</v>
      </c>
      <c r="Q10" s="9" t="s">
        <v>209</v>
      </c>
      <c r="R10" s="9" t="s">
        <v>210</v>
      </c>
      <c r="S10" s="10" t="n">
        <f aca="false">INDEX(Rules!$B$11:$B$15,MATCH("Row unlock: "&amp;B10,Rules!$A$11:$A$15,0))+(D10-1)*Rules!$B$10</f>
        <v>30</v>
      </c>
      <c r="T10" s="10" t="n">
        <f aca="false">S10+(N10-1)*Rules!$B$8</f>
        <v>66</v>
      </c>
      <c r="U10" s="8" t="s">
        <v>180</v>
      </c>
      <c r="V10" s="9" t="s">
        <v>211</v>
      </c>
      <c r="W10" s="8" t="s">
        <v>172</v>
      </c>
      <c r="X10" s="15" t="n">
        <v>6</v>
      </c>
      <c r="Y10" s="15" t="s">
        <v>212</v>
      </c>
    </row>
    <row r="11" customFormat="false" ht="23.25" hidden="false" customHeight="true" outlineLevel="0" collapsed="false">
      <c r="A11" s="10" t="s">
        <v>112</v>
      </c>
      <c r="B11" s="10" t="s">
        <v>213</v>
      </c>
      <c r="C11" s="8" t="s">
        <v>214</v>
      </c>
      <c r="D11" s="10" t="n">
        <v>1</v>
      </c>
      <c r="E11" s="8" t="s">
        <v>215</v>
      </c>
      <c r="F11" s="9" t="s">
        <v>216</v>
      </c>
      <c r="G11" s="8" t="s">
        <v>217</v>
      </c>
      <c r="H11" s="8"/>
      <c r="I11" s="8"/>
      <c r="J11" s="8"/>
      <c r="K11" s="8" t="n">
        <v>5</v>
      </c>
      <c r="L11" s="8" t="n">
        <v>0.7</v>
      </c>
      <c r="M11" s="8" t="s">
        <v>218</v>
      </c>
      <c r="N11" s="14" t="n">
        <f aca="false">Rules!$B$5</f>
        <v>10</v>
      </c>
      <c r="O11" s="10" t="n">
        <f aca="false">K11+L11*(N11-1)</f>
        <v>11.3</v>
      </c>
      <c r="P11" s="10" t="str">
        <f aca="false">IF(H11="","",H11+IF(J11="",0,J11)*(N11-1))</f>
        <v/>
      </c>
      <c r="Q11" s="9" t="s">
        <v>219</v>
      </c>
      <c r="R11" s="9" t="s">
        <v>220</v>
      </c>
      <c r="S11" s="10" t="n">
        <f aca="false">INDEX(Rules!$B$11:$B$15,MATCH("Row unlock: "&amp;B11,Rules!$A$11:$A$15,0))+(D11-1)*Rules!$B$10</f>
        <v>1</v>
      </c>
      <c r="T11" s="10" t="n">
        <f aca="false">S11+(N11-1)*Rules!$B$8</f>
        <v>37</v>
      </c>
      <c r="U11" s="8" t="s">
        <v>180</v>
      </c>
      <c r="V11" s="9" t="s">
        <v>221</v>
      </c>
      <c r="W11" s="8" t="s">
        <v>172</v>
      </c>
      <c r="X11" s="15" t="n">
        <v>7</v>
      </c>
      <c r="Y11" s="15" t="s">
        <v>222</v>
      </c>
    </row>
    <row r="12" customFormat="false" ht="15" hidden="false" customHeight="true" outlineLevel="0" collapsed="false">
      <c r="A12" s="10" t="s">
        <v>112</v>
      </c>
      <c r="B12" s="10" t="s">
        <v>213</v>
      </c>
      <c r="C12" s="8" t="s">
        <v>214</v>
      </c>
      <c r="D12" s="10" t="n">
        <v>2</v>
      </c>
      <c r="E12" s="8" t="s">
        <v>223</v>
      </c>
      <c r="F12" s="9" t="s">
        <v>224</v>
      </c>
      <c r="G12" s="8" t="s">
        <v>176</v>
      </c>
      <c r="H12" s="8" t="n">
        <v>10</v>
      </c>
      <c r="I12" s="8" t="s">
        <v>177</v>
      </c>
      <c r="J12" s="8" t="n">
        <v>0</v>
      </c>
      <c r="K12" s="8" t="n">
        <v>250</v>
      </c>
      <c r="L12" s="8" t="n">
        <v>17</v>
      </c>
      <c r="M12" s="8" t="s">
        <v>79</v>
      </c>
      <c r="N12" s="14" t="n">
        <f aca="false">Rules!$B$5</f>
        <v>10</v>
      </c>
      <c r="O12" s="10" t="n">
        <f aca="false">K12+L12*(N12-1)</f>
        <v>403</v>
      </c>
      <c r="P12" s="10" t="n">
        <f aca="false">IF(H12="","",H12+IF(J12="",0,J12)*(N12-1))</f>
        <v>10</v>
      </c>
      <c r="Q12" s="9" t="s">
        <v>225</v>
      </c>
      <c r="R12" s="9" t="s">
        <v>226</v>
      </c>
      <c r="S12" s="10" t="n">
        <f aca="false">INDEX(Rules!$B$11:$B$15,MATCH("Row unlock: "&amp;B12,Rules!$A$11:$A$15,0))+(D12-1)*Rules!$B$10</f>
        <v>6</v>
      </c>
      <c r="T12" s="10" t="n">
        <f aca="false">S12+(N12-1)*Rules!$B$8</f>
        <v>42</v>
      </c>
      <c r="U12" s="8" t="s">
        <v>180</v>
      </c>
      <c r="V12" s="9" t="s">
        <v>227</v>
      </c>
      <c r="W12" s="8" t="s">
        <v>172</v>
      </c>
      <c r="X12" s="15" t="n">
        <v>8</v>
      </c>
      <c r="Y12" s="15" t="s">
        <v>228</v>
      </c>
    </row>
    <row r="13" customFormat="false" ht="15" hidden="false" customHeight="true" outlineLevel="0" collapsed="false">
      <c r="A13" s="10" t="s">
        <v>112</v>
      </c>
      <c r="B13" s="10" t="s">
        <v>213</v>
      </c>
      <c r="C13" s="8" t="s">
        <v>214</v>
      </c>
      <c r="D13" s="10" t="n">
        <v>3</v>
      </c>
      <c r="E13" s="8" t="s">
        <v>229</v>
      </c>
      <c r="F13" s="9" t="s">
        <v>230</v>
      </c>
      <c r="G13" s="8" t="s">
        <v>217</v>
      </c>
      <c r="H13" s="8"/>
      <c r="I13" s="8"/>
      <c r="J13" s="8"/>
      <c r="K13" s="8" t="n">
        <v>3</v>
      </c>
      <c r="L13" s="8" t="n">
        <v>3</v>
      </c>
      <c r="M13" s="8" t="s">
        <v>231</v>
      </c>
      <c r="N13" s="14" t="n">
        <f aca="false">Rules!$B$5</f>
        <v>10</v>
      </c>
      <c r="O13" s="10" t="n">
        <f aca="false">K13+L13*(N13-1)</f>
        <v>30</v>
      </c>
      <c r="P13" s="10" t="str">
        <f aca="false">IF(H13="","",H13+IF(J13="",0,J13)*(N13-1))</f>
        <v/>
      </c>
      <c r="Q13" s="9" t="s">
        <v>232</v>
      </c>
      <c r="R13" s="9" t="s">
        <v>233</v>
      </c>
      <c r="S13" s="10" t="n">
        <f aca="false">INDEX(Rules!$B$11:$B$15,MATCH("Row unlock: "&amp;B13,Rules!$A$11:$A$15,0))+(D13-1)*Rules!$B$10</f>
        <v>11</v>
      </c>
      <c r="T13" s="10" t="n">
        <f aca="false">S13+(N13-1)*Rules!$B$8</f>
        <v>47</v>
      </c>
      <c r="U13" s="8"/>
      <c r="V13" s="9" t="s">
        <v>234</v>
      </c>
      <c r="W13" s="8" t="s">
        <v>172</v>
      </c>
      <c r="X13" s="15" t="n">
        <v>9</v>
      </c>
      <c r="Y13" s="15" t="s">
        <v>235</v>
      </c>
    </row>
    <row r="14" customFormat="false" ht="23.25" hidden="false" customHeight="true" outlineLevel="0" collapsed="false">
      <c r="A14" s="10" t="s">
        <v>112</v>
      </c>
      <c r="B14" s="10" t="s">
        <v>236</v>
      </c>
      <c r="C14" s="8" t="s">
        <v>237</v>
      </c>
      <c r="D14" s="10" t="n">
        <v>1</v>
      </c>
      <c r="E14" s="8" t="s">
        <v>238</v>
      </c>
      <c r="F14" s="9" t="s">
        <v>239</v>
      </c>
      <c r="G14" s="8" t="s">
        <v>217</v>
      </c>
      <c r="H14" s="8"/>
      <c r="I14" s="8"/>
      <c r="J14" s="8"/>
      <c r="K14" s="8" t="n">
        <v>4</v>
      </c>
      <c r="L14" s="8" t="n">
        <v>1.2</v>
      </c>
      <c r="M14" s="8" t="s">
        <v>202</v>
      </c>
      <c r="N14" s="14" t="n">
        <f aca="false">Rules!$B$5</f>
        <v>10</v>
      </c>
      <c r="O14" s="10" t="n">
        <f aca="false">K14+L14*(N14-1)</f>
        <v>14.8</v>
      </c>
      <c r="P14" s="10" t="str">
        <f aca="false">IF(H14="","",H14+IF(J14="",0,J14)*(N14-1))</f>
        <v/>
      </c>
      <c r="Q14" s="9" t="s">
        <v>240</v>
      </c>
      <c r="R14" s="9" t="s">
        <v>241</v>
      </c>
      <c r="S14" s="10" t="n">
        <f aca="false">INDEX(Rules!$B$11:$B$15,MATCH("Row unlock: "&amp;B14,Rules!$A$11:$A$15,0))+(D14-1)*Rules!$B$10</f>
        <v>10</v>
      </c>
      <c r="T14" s="10" t="n">
        <f aca="false">S14+(N14-1)*Rules!$B$8</f>
        <v>46</v>
      </c>
      <c r="U14" s="8"/>
      <c r="V14" s="9" t="s">
        <v>242</v>
      </c>
      <c r="W14" s="8" t="s">
        <v>243</v>
      </c>
      <c r="X14" s="15" t="n">
        <v>10</v>
      </c>
      <c r="Y14" s="15" t="s">
        <v>244</v>
      </c>
    </row>
    <row r="15" customFormat="false" ht="23.25" hidden="false" customHeight="true" outlineLevel="0" collapsed="false">
      <c r="A15" s="10" t="s">
        <v>112</v>
      </c>
      <c r="B15" s="10" t="s">
        <v>236</v>
      </c>
      <c r="C15" s="8" t="s">
        <v>237</v>
      </c>
      <c r="D15" s="10" t="n">
        <v>2</v>
      </c>
      <c r="E15" s="8" t="s">
        <v>245</v>
      </c>
      <c r="F15" s="9" t="s">
        <v>246</v>
      </c>
      <c r="G15" s="8" t="s">
        <v>217</v>
      </c>
      <c r="H15" s="8"/>
      <c r="I15" s="8"/>
      <c r="J15" s="8"/>
      <c r="K15" s="8" t="n">
        <v>3</v>
      </c>
      <c r="L15" s="8" t="n">
        <v>1</v>
      </c>
      <c r="M15" s="8" t="s">
        <v>247</v>
      </c>
      <c r="N15" s="14" t="n">
        <f aca="false">Rules!$B$5</f>
        <v>10</v>
      </c>
      <c r="O15" s="10" t="n">
        <f aca="false">K15+L15*(N15-1)</f>
        <v>12</v>
      </c>
      <c r="P15" s="10" t="str">
        <f aca="false">IF(H15="","",H15+IF(J15="",0,J15)*(N15-1))</f>
        <v/>
      </c>
      <c r="Q15" s="9" t="s">
        <v>248</v>
      </c>
      <c r="R15" s="9" t="s">
        <v>249</v>
      </c>
      <c r="S15" s="10" t="n">
        <f aca="false">INDEX(Rules!$B$11:$B$15,MATCH("Row unlock: "&amp;B15,Rules!$A$11:$A$15,0))+(D15-1)*Rules!$B$10</f>
        <v>15</v>
      </c>
      <c r="T15" s="10" t="n">
        <f aca="false">S15+(N15-1)*Rules!$B$8</f>
        <v>51</v>
      </c>
      <c r="U15" s="8"/>
      <c r="V15" s="9" t="s">
        <v>234</v>
      </c>
      <c r="W15" s="8" t="s">
        <v>172</v>
      </c>
      <c r="X15" s="15" t="n">
        <v>11</v>
      </c>
      <c r="Y15" s="15" t="s">
        <v>250</v>
      </c>
    </row>
    <row r="16" customFormat="false" ht="15" hidden="false" customHeight="true" outlineLevel="0" collapsed="false">
      <c r="A16" s="10" t="s">
        <v>112</v>
      </c>
      <c r="B16" s="10" t="s">
        <v>236</v>
      </c>
      <c r="C16" s="8" t="s">
        <v>237</v>
      </c>
      <c r="D16" s="10" t="n">
        <v>3</v>
      </c>
      <c r="E16" s="8" t="s">
        <v>251</v>
      </c>
      <c r="F16" s="9" t="s">
        <v>252</v>
      </c>
      <c r="G16" s="8" t="s">
        <v>217</v>
      </c>
      <c r="H16" s="8"/>
      <c r="I16" s="8"/>
      <c r="J16" s="8"/>
      <c r="K16" s="8" t="n">
        <v>2</v>
      </c>
      <c r="L16" s="8" t="n">
        <v>1.5</v>
      </c>
      <c r="M16" s="8" t="s">
        <v>202</v>
      </c>
      <c r="N16" s="14" t="n">
        <f aca="false">Rules!$B$5</f>
        <v>10</v>
      </c>
      <c r="O16" s="10" t="n">
        <f aca="false">K16+L16*(N16-1)</f>
        <v>15.5</v>
      </c>
      <c r="P16" s="10" t="str">
        <f aca="false">IF(H16="","",H16+IF(J16="",0,J16)*(N16-1))</f>
        <v/>
      </c>
      <c r="Q16" s="9" t="s">
        <v>253</v>
      </c>
      <c r="R16" s="9" t="s">
        <v>254</v>
      </c>
      <c r="S16" s="10" t="n">
        <f aca="false">INDEX(Rules!$B$11:$B$15,MATCH("Row unlock: "&amp;B16,Rules!$A$11:$A$15,0))+(D16-1)*Rules!$B$10</f>
        <v>20</v>
      </c>
      <c r="T16" s="10" t="n">
        <f aca="false">S16+(N16-1)*Rules!$B$8</f>
        <v>56</v>
      </c>
      <c r="U16" s="8"/>
      <c r="V16" s="9" t="s">
        <v>255</v>
      </c>
      <c r="W16" s="8" t="s">
        <v>172</v>
      </c>
      <c r="X16" s="15" t="n">
        <v>12</v>
      </c>
      <c r="Y16" s="15" t="s">
        <v>256</v>
      </c>
    </row>
    <row r="17" customFormat="false" ht="15" hidden="false" customHeight="true" outlineLevel="0" collapsed="false">
      <c r="A17" s="10" t="s">
        <v>112</v>
      </c>
      <c r="B17" s="10" t="s">
        <v>257</v>
      </c>
      <c r="C17" s="8" t="s">
        <v>258</v>
      </c>
      <c r="D17" s="10" t="n">
        <v>1</v>
      </c>
      <c r="E17" s="8" t="s">
        <v>259</v>
      </c>
      <c r="F17" s="9" t="s">
        <v>260</v>
      </c>
      <c r="G17" s="8" t="s">
        <v>217</v>
      </c>
      <c r="H17" s="8"/>
      <c r="I17" s="8"/>
      <c r="J17" s="8"/>
      <c r="K17" s="8" t="n">
        <v>3</v>
      </c>
      <c r="L17" s="8" t="n">
        <v>2</v>
      </c>
      <c r="M17" s="8" t="s">
        <v>82</v>
      </c>
      <c r="N17" s="14" t="n">
        <f aca="false">Rules!$B$5</f>
        <v>10</v>
      </c>
      <c r="O17" s="10" t="n">
        <f aca="false">K17+L17*(N17-1)</f>
        <v>21</v>
      </c>
      <c r="P17" s="10" t="str">
        <f aca="false">IF(H17="","",H17+IF(J17="",0,J17)*(N17-1))</f>
        <v/>
      </c>
      <c r="Q17" s="9" t="s">
        <v>261</v>
      </c>
      <c r="R17" s="9" t="s">
        <v>262</v>
      </c>
      <c r="S17" s="10" t="n">
        <f aca="false">INDEX(Rules!$B$11:$B$15,MATCH("Row unlock: "&amp;B17,Rules!$A$11:$A$15,0))+(D17-1)*Rules!$B$10</f>
        <v>30</v>
      </c>
      <c r="T17" s="10" t="n">
        <f aca="false">S17+(N17-1)*Rules!$B$8</f>
        <v>66</v>
      </c>
      <c r="U17" s="8"/>
      <c r="V17" s="9" t="s">
        <v>234</v>
      </c>
      <c r="W17" s="8" t="s">
        <v>172</v>
      </c>
      <c r="X17" s="15" t="n">
        <v>13</v>
      </c>
      <c r="Y17" s="15" t="s">
        <v>263</v>
      </c>
    </row>
    <row r="18" customFormat="false" ht="15" hidden="false" customHeight="true" outlineLevel="0" collapsed="false">
      <c r="A18" s="10" t="s">
        <v>112</v>
      </c>
      <c r="B18" s="10" t="s">
        <v>257</v>
      </c>
      <c r="C18" s="8" t="s">
        <v>258</v>
      </c>
      <c r="D18" s="10" t="n">
        <v>2</v>
      </c>
      <c r="E18" s="8" t="s">
        <v>264</v>
      </c>
      <c r="F18" s="9" t="s">
        <v>265</v>
      </c>
      <c r="G18" s="8" t="s">
        <v>217</v>
      </c>
      <c r="H18" s="8"/>
      <c r="I18" s="8"/>
      <c r="J18" s="8"/>
      <c r="K18" s="8" t="n">
        <v>2</v>
      </c>
      <c r="L18" s="8" t="n">
        <v>0.6</v>
      </c>
      <c r="M18" s="8" t="s">
        <v>266</v>
      </c>
      <c r="N18" s="14" t="n">
        <f aca="false">Rules!$B$5</f>
        <v>10</v>
      </c>
      <c r="O18" s="10" t="n">
        <f aca="false">K18+L18*(N18-1)</f>
        <v>7.4</v>
      </c>
      <c r="P18" s="10" t="str">
        <f aca="false">IF(H18="","",H18+IF(J18="",0,J18)*(N18-1))</f>
        <v/>
      </c>
      <c r="Q18" s="9" t="s">
        <v>267</v>
      </c>
      <c r="R18" s="9" t="s">
        <v>268</v>
      </c>
      <c r="S18" s="10" t="n">
        <f aca="false">INDEX(Rules!$B$11:$B$15,MATCH("Row unlock: "&amp;B18,Rules!$A$11:$A$15,0))+(D18-1)*Rules!$B$10</f>
        <v>35</v>
      </c>
      <c r="T18" s="10" t="n">
        <f aca="false">S18+(N18-1)*Rules!$B$8</f>
        <v>71</v>
      </c>
      <c r="U18" s="8"/>
      <c r="V18" s="9" t="s">
        <v>234</v>
      </c>
      <c r="W18" s="8" t="s">
        <v>172</v>
      </c>
      <c r="X18" s="15" t="n">
        <v>14</v>
      </c>
      <c r="Y18" s="15" t="s">
        <v>269</v>
      </c>
    </row>
    <row r="19" customFormat="false" ht="15" hidden="false" customHeight="true" outlineLevel="0" collapsed="false">
      <c r="A19" s="10" t="s">
        <v>112</v>
      </c>
      <c r="B19" s="10" t="s">
        <v>257</v>
      </c>
      <c r="C19" s="8" t="s">
        <v>258</v>
      </c>
      <c r="D19" s="10" t="n">
        <v>3</v>
      </c>
      <c r="E19" s="8" t="s">
        <v>270</v>
      </c>
      <c r="F19" s="9" t="s">
        <v>271</v>
      </c>
      <c r="G19" s="8" t="s">
        <v>166</v>
      </c>
      <c r="H19" s="8" t="n">
        <v>90</v>
      </c>
      <c r="I19" s="8" t="s">
        <v>63</v>
      </c>
      <c r="J19" s="8" t="n">
        <v>-3</v>
      </c>
      <c r="K19" s="8" t="n">
        <v>15</v>
      </c>
      <c r="L19" s="8" t="n">
        <v>2</v>
      </c>
      <c r="M19" s="8" t="s">
        <v>218</v>
      </c>
      <c r="N19" s="14" t="n">
        <f aca="false">Rules!$B$5</f>
        <v>10</v>
      </c>
      <c r="O19" s="10" t="n">
        <f aca="false">K19+L19*(N19-1)</f>
        <v>33</v>
      </c>
      <c r="P19" s="10" t="n">
        <f aca="false">IF(H19="","",H19+IF(J19="",0,J19)*(N19-1))</f>
        <v>63</v>
      </c>
      <c r="Q19" s="9" t="s">
        <v>272</v>
      </c>
      <c r="R19" s="9" t="s">
        <v>273</v>
      </c>
      <c r="S19" s="10" t="n">
        <f aca="false">INDEX(Rules!$B$11:$B$15,MATCH("Row unlock: "&amp;B19,Rules!$A$11:$A$15,0))+(D19-1)*Rules!$B$10</f>
        <v>40</v>
      </c>
      <c r="T19" s="10" t="n">
        <f aca="false">S19+(N19-1)*Rules!$B$8</f>
        <v>76</v>
      </c>
      <c r="U19" s="8" t="s">
        <v>170</v>
      </c>
      <c r="V19" s="9" t="s">
        <v>274</v>
      </c>
      <c r="W19" s="8" t="s">
        <v>172</v>
      </c>
      <c r="X19" s="15" t="n">
        <v>15</v>
      </c>
      <c r="Y19" s="15" t="s">
        <v>275</v>
      </c>
    </row>
    <row r="20" customFormat="false" ht="15" hidden="false" customHeight="true" outlineLevel="0" collapsed="false">
      <c r="A20" s="16" t="s">
        <v>104</v>
      </c>
      <c r="B20" s="16" t="s">
        <v>162</v>
      </c>
      <c r="C20" s="8" t="s">
        <v>276</v>
      </c>
      <c r="D20" s="16" t="n">
        <v>1</v>
      </c>
      <c r="E20" s="8" t="s">
        <v>277</v>
      </c>
      <c r="F20" s="9" t="s">
        <v>278</v>
      </c>
      <c r="G20" s="8" t="s">
        <v>166</v>
      </c>
      <c r="H20" s="8" t="n">
        <v>18</v>
      </c>
      <c r="I20" s="8" t="s">
        <v>63</v>
      </c>
      <c r="J20" s="8" t="n">
        <v>-0.5</v>
      </c>
      <c r="K20" s="8" t="n">
        <v>3</v>
      </c>
      <c r="L20" s="8" t="n">
        <v>0.5</v>
      </c>
      <c r="M20" s="8" t="s">
        <v>167</v>
      </c>
      <c r="N20" s="14" t="n">
        <f aca="false">Rules!$B$5</f>
        <v>10</v>
      </c>
      <c r="O20" s="16" t="n">
        <f aca="false">K20+L20*(N20-1)</f>
        <v>7.5</v>
      </c>
      <c r="P20" s="16" t="n">
        <f aca="false">IF(H20="","",H20+IF(J20="",0,J20)*(N20-1))</f>
        <v>13.5</v>
      </c>
      <c r="Q20" s="9" t="s">
        <v>279</v>
      </c>
      <c r="R20" s="9" t="s">
        <v>280</v>
      </c>
      <c r="S20" s="16" t="n">
        <f aca="false">INDEX(Rules!$B$11:$B$15,MATCH("Row unlock: "&amp;B20,Rules!$A$11:$A$15,0))+(D20-1)*Rules!$B$10</f>
        <v>1</v>
      </c>
      <c r="T20" s="16" t="n">
        <f aca="false">S20+(N20-1)*Rules!$B$8</f>
        <v>37</v>
      </c>
      <c r="U20" s="8" t="s">
        <v>170</v>
      </c>
      <c r="V20" s="9" t="s">
        <v>281</v>
      </c>
      <c r="W20" s="8" t="s">
        <v>190</v>
      </c>
      <c r="X20" s="15" t="n">
        <v>16</v>
      </c>
      <c r="Y20" s="15" t="s">
        <v>282</v>
      </c>
    </row>
    <row r="21" customFormat="false" ht="15" hidden="false" customHeight="true" outlineLevel="0" collapsed="false">
      <c r="A21" s="16" t="s">
        <v>104</v>
      </c>
      <c r="B21" s="16" t="s">
        <v>162</v>
      </c>
      <c r="C21" s="8" t="s">
        <v>276</v>
      </c>
      <c r="D21" s="16" t="n">
        <v>2</v>
      </c>
      <c r="E21" s="8" t="s">
        <v>283</v>
      </c>
      <c r="F21" s="9" t="s">
        <v>284</v>
      </c>
      <c r="G21" s="8" t="s">
        <v>285</v>
      </c>
      <c r="H21" s="8" t="n">
        <v>15</v>
      </c>
      <c r="I21" s="8" t="s">
        <v>286</v>
      </c>
      <c r="J21" s="8" t="n">
        <v>-0.5</v>
      </c>
      <c r="K21" s="8" t="n">
        <v>2</v>
      </c>
      <c r="L21" s="8" t="n">
        <v>0.4</v>
      </c>
      <c r="M21" s="8" t="s">
        <v>167</v>
      </c>
      <c r="N21" s="14" t="n">
        <f aca="false">Rules!$B$5</f>
        <v>10</v>
      </c>
      <c r="O21" s="16" t="n">
        <f aca="false">K21+L21*(N21-1)</f>
        <v>5.6</v>
      </c>
      <c r="P21" s="16" t="n">
        <f aca="false">IF(H21="","",H21+IF(J21="",0,J21)*(N21-1))</f>
        <v>10.5</v>
      </c>
      <c r="Q21" s="9" t="s">
        <v>287</v>
      </c>
      <c r="R21" s="9" t="s">
        <v>288</v>
      </c>
      <c r="S21" s="16" t="n">
        <f aca="false">INDEX(Rules!$B$11:$B$15,MATCH("Row unlock: "&amp;B21,Rules!$A$11:$A$15,0))+(D21-1)*Rules!$B$10</f>
        <v>6</v>
      </c>
      <c r="T21" s="16" t="n">
        <f aca="false">S21+(N21-1)*Rules!$B$8</f>
        <v>42</v>
      </c>
      <c r="U21" s="8" t="s">
        <v>180</v>
      </c>
      <c r="V21" s="9" t="s">
        <v>289</v>
      </c>
      <c r="W21" s="8" t="s">
        <v>172</v>
      </c>
      <c r="X21" s="15" t="n">
        <v>17</v>
      </c>
      <c r="Y21" s="15" t="s">
        <v>290</v>
      </c>
    </row>
    <row r="22" customFormat="false" ht="23.25" hidden="false" customHeight="true" outlineLevel="0" collapsed="false">
      <c r="A22" s="16" t="s">
        <v>104</v>
      </c>
      <c r="B22" s="16" t="s">
        <v>162</v>
      </c>
      <c r="C22" s="8" t="s">
        <v>276</v>
      </c>
      <c r="D22" s="16" t="n">
        <v>3</v>
      </c>
      <c r="E22" s="8" t="s">
        <v>291</v>
      </c>
      <c r="F22" s="9" t="s">
        <v>292</v>
      </c>
      <c r="G22" s="8" t="s">
        <v>166</v>
      </c>
      <c r="H22" s="8" t="n">
        <v>15</v>
      </c>
      <c r="I22" s="8" t="s">
        <v>63</v>
      </c>
      <c r="J22" s="8" t="n">
        <v>-0.4</v>
      </c>
      <c r="K22" s="8" t="n">
        <v>2</v>
      </c>
      <c r="L22" s="8" t="n">
        <v>0.2</v>
      </c>
      <c r="M22" s="8" t="s">
        <v>63</v>
      </c>
      <c r="N22" s="14" t="n">
        <f aca="false">Rules!$B$5</f>
        <v>10</v>
      </c>
      <c r="O22" s="16" t="n">
        <f aca="false">K22+L22*(N22-1)</f>
        <v>3.8</v>
      </c>
      <c r="P22" s="16" t="n">
        <f aca="false">IF(H22="","",H22+IF(J22="",0,J22)*(N22-1))</f>
        <v>11.4</v>
      </c>
      <c r="Q22" s="9" t="s">
        <v>293</v>
      </c>
      <c r="R22" s="9" t="s">
        <v>294</v>
      </c>
      <c r="S22" s="16" t="n">
        <f aca="false">INDEX(Rules!$B$11:$B$15,MATCH("Row unlock: "&amp;B22,Rules!$A$11:$A$15,0))+(D22-1)*Rules!$B$10</f>
        <v>11</v>
      </c>
      <c r="T22" s="16" t="n">
        <f aca="false">S22+(N22-1)*Rules!$B$8</f>
        <v>47</v>
      </c>
      <c r="U22" s="8" t="s">
        <v>180</v>
      </c>
      <c r="V22" s="9" t="s">
        <v>295</v>
      </c>
      <c r="W22" s="8" t="s">
        <v>243</v>
      </c>
      <c r="X22" s="15" t="n">
        <v>18</v>
      </c>
      <c r="Y22" s="15" t="s">
        <v>296</v>
      </c>
    </row>
    <row r="23" customFormat="false" ht="23.25" hidden="false" customHeight="true" outlineLevel="0" collapsed="false">
      <c r="A23" s="16" t="s">
        <v>104</v>
      </c>
      <c r="B23" s="16" t="s">
        <v>192</v>
      </c>
      <c r="C23" s="8" t="s">
        <v>297</v>
      </c>
      <c r="D23" s="16" t="n">
        <v>1</v>
      </c>
      <c r="E23" s="8" t="s">
        <v>298</v>
      </c>
      <c r="F23" s="9" t="s">
        <v>299</v>
      </c>
      <c r="G23" s="8" t="s">
        <v>285</v>
      </c>
      <c r="H23" s="8" t="n">
        <v>30</v>
      </c>
      <c r="I23" s="8" t="s">
        <v>286</v>
      </c>
      <c r="J23" s="8" t="n">
        <v>-1</v>
      </c>
      <c r="K23" s="8" t="n">
        <v>60</v>
      </c>
      <c r="L23" s="8" t="n">
        <v>8</v>
      </c>
      <c r="M23" s="8" t="s">
        <v>300</v>
      </c>
      <c r="N23" s="14" t="n">
        <f aca="false">Rules!$B$5</f>
        <v>10</v>
      </c>
      <c r="O23" s="16" t="n">
        <f aca="false">K23+L23*(N23-1)</f>
        <v>132</v>
      </c>
      <c r="P23" s="16" t="n">
        <f aca="false">IF(H23="","",H23+IF(J23="",0,J23)*(N23-1))</f>
        <v>21</v>
      </c>
      <c r="Q23" s="9" t="s">
        <v>301</v>
      </c>
      <c r="R23" s="9" t="s">
        <v>302</v>
      </c>
      <c r="S23" s="16" t="n">
        <f aca="false">INDEX(Rules!$B$11:$B$15,MATCH("Row unlock: "&amp;B23,Rules!$A$11:$A$15,0))+(D23-1)*Rules!$B$10</f>
        <v>20</v>
      </c>
      <c r="T23" s="16" t="n">
        <f aca="false">S23+(N23-1)*Rules!$B$8</f>
        <v>56</v>
      </c>
      <c r="U23" s="8" t="s">
        <v>170</v>
      </c>
      <c r="V23" s="9" t="s">
        <v>303</v>
      </c>
      <c r="W23" s="8" t="s">
        <v>172</v>
      </c>
      <c r="X23" s="15" t="n">
        <v>19</v>
      </c>
      <c r="Y23" s="15" t="s">
        <v>304</v>
      </c>
    </row>
    <row r="24" customFormat="false" ht="15" hidden="false" customHeight="true" outlineLevel="0" collapsed="false">
      <c r="A24" s="16" t="s">
        <v>104</v>
      </c>
      <c r="B24" s="16" t="s">
        <v>192</v>
      </c>
      <c r="C24" s="8" t="s">
        <v>297</v>
      </c>
      <c r="D24" s="16" t="n">
        <v>2</v>
      </c>
      <c r="E24" s="8" t="s">
        <v>305</v>
      </c>
      <c r="F24" s="9" t="s">
        <v>306</v>
      </c>
      <c r="G24" s="8" t="s">
        <v>166</v>
      </c>
      <c r="H24" s="8" t="n">
        <v>30</v>
      </c>
      <c r="I24" s="8" t="s">
        <v>63</v>
      </c>
      <c r="J24" s="8" t="n">
        <v>-1</v>
      </c>
      <c r="K24" s="8" t="n">
        <v>30</v>
      </c>
      <c r="L24" s="8" t="n">
        <v>2.5</v>
      </c>
      <c r="M24" s="8" t="s">
        <v>307</v>
      </c>
      <c r="N24" s="14" t="n">
        <f aca="false">Rules!$B$5</f>
        <v>10</v>
      </c>
      <c r="O24" s="16" t="n">
        <f aca="false">K24+L24*(N24-1)</f>
        <v>52.5</v>
      </c>
      <c r="P24" s="16" t="n">
        <f aca="false">IF(H24="","",H24+IF(J24="",0,J24)*(N24-1))</f>
        <v>21</v>
      </c>
      <c r="Q24" s="9" t="s">
        <v>308</v>
      </c>
      <c r="R24" s="9" t="s">
        <v>309</v>
      </c>
      <c r="S24" s="16" t="n">
        <f aca="false">INDEX(Rules!$B$11:$B$15,MATCH("Row unlock: "&amp;B24,Rules!$A$11:$A$15,0))+(D24-1)*Rules!$B$10</f>
        <v>25</v>
      </c>
      <c r="T24" s="16" t="n">
        <f aca="false">S24+(N24-1)*Rules!$B$8</f>
        <v>61</v>
      </c>
      <c r="U24" s="8" t="s">
        <v>170</v>
      </c>
      <c r="V24" s="9" t="s">
        <v>310</v>
      </c>
      <c r="W24" s="8" t="s">
        <v>172</v>
      </c>
      <c r="X24" s="15" t="n">
        <v>20</v>
      </c>
      <c r="Y24" s="15" t="s">
        <v>311</v>
      </c>
    </row>
    <row r="25" customFormat="false" ht="23.25" hidden="false" customHeight="true" outlineLevel="0" collapsed="false">
      <c r="A25" s="16" t="s">
        <v>104</v>
      </c>
      <c r="B25" s="16" t="s">
        <v>192</v>
      </c>
      <c r="C25" s="8" t="s">
        <v>297</v>
      </c>
      <c r="D25" s="16" t="n">
        <v>3</v>
      </c>
      <c r="E25" s="8" t="s">
        <v>312</v>
      </c>
      <c r="F25" s="9" t="s">
        <v>313</v>
      </c>
      <c r="G25" s="8" t="s">
        <v>166</v>
      </c>
      <c r="H25" s="8" t="n">
        <v>40</v>
      </c>
      <c r="I25" s="8" t="s">
        <v>63</v>
      </c>
      <c r="J25" s="8" t="n">
        <v>-1</v>
      </c>
      <c r="K25" s="8" t="n">
        <v>20</v>
      </c>
      <c r="L25" s="8" t="n">
        <v>2</v>
      </c>
      <c r="M25" s="8" t="s">
        <v>314</v>
      </c>
      <c r="N25" s="14" t="n">
        <f aca="false">Rules!$B$5</f>
        <v>10</v>
      </c>
      <c r="O25" s="16" t="n">
        <f aca="false">K25+L25*(N25-1)</f>
        <v>38</v>
      </c>
      <c r="P25" s="16" t="n">
        <f aca="false">IF(H25="","",H25+IF(J25="",0,J25)*(N25-1))</f>
        <v>31</v>
      </c>
      <c r="Q25" s="9" t="s">
        <v>315</v>
      </c>
      <c r="R25" s="9" t="s">
        <v>316</v>
      </c>
      <c r="S25" s="16" t="n">
        <f aca="false">INDEX(Rules!$B$11:$B$15,MATCH("Row unlock: "&amp;B25,Rules!$A$11:$A$15,0))+(D25-1)*Rules!$B$10</f>
        <v>30</v>
      </c>
      <c r="T25" s="16" t="n">
        <f aca="false">S25+(N25-1)*Rules!$B$8</f>
        <v>66</v>
      </c>
      <c r="U25" s="8" t="s">
        <v>170</v>
      </c>
      <c r="V25" s="9" t="s">
        <v>317</v>
      </c>
      <c r="W25" s="8" t="s">
        <v>190</v>
      </c>
      <c r="X25" s="15" t="n">
        <v>21</v>
      </c>
      <c r="Y25" s="15" t="s">
        <v>318</v>
      </c>
    </row>
    <row r="26" customFormat="false" ht="23.25" hidden="false" customHeight="true" outlineLevel="0" collapsed="false">
      <c r="A26" s="16" t="s">
        <v>104</v>
      </c>
      <c r="B26" s="16" t="s">
        <v>213</v>
      </c>
      <c r="C26" s="8" t="s">
        <v>319</v>
      </c>
      <c r="D26" s="16" t="n">
        <v>1</v>
      </c>
      <c r="E26" s="8" t="s">
        <v>320</v>
      </c>
      <c r="F26" s="9" t="s">
        <v>260</v>
      </c>
      <c r="G26" s="8" t="s">
        <v>217</v>
      </c>
      <c r="H26" s="8"/>
      <c r="I26" s="8"/>
      <c r="J26" s="8"/>
      <c r="K26" s="8" t="n">
        <v>4</v>
      </c>
      <c r="L26" s="8" t="n">
        <v>2</v>
      </c>
      <c r="M26" s="8" t="s">
        <v>82</v>
      </c>
      <c r="N26" s="14" t="n">
        <f aca="false">Rules!$B$5</f>
        <v>10</v>
      </c>
      <c r="O26" s="16" t="n">
        <f aca="false">K26+L26*(N26-1)</f>
        <v>22</v>
      </c>
      <c r="P26" s="16" t="str">
        <f aca="false">IF(H26="","",H26+IF(J26="",0,J26)*(N26-1))</f>
        <v/>
      </c>
      <c r="Q26" s="9" t="s">
        <v>321</v>
      </c>
      <c r="R26" s="9" t="s">
        <v>262</v>
      </c>
      <c r="S26" s="16" t="n">
        <f aca="false">INDEX(Rules!$B$11:$B$15,MATCH("Row unlock: "&amp;B26,Rules!$A$11:$A$15,0))+(D26-1)*Rules!$B$10</f>
        <v>1</v>
      </c>
      <c r="T26" s="16" t="n">
        <f aca="false">S26+(N26-1)*Rules!$B$8</f>
        <v>37</v>
      </c>
      <c r="U26" s="8"/>
      <c r="V26" s="9" t="s">
        <v>234</v>
      </c>
      <c r="W26" s="8" t="s">
        <v>172</v>
      </c>
      <c r="X26" s="15" t="n">
        <v>22</v>
      </c>
      <c r="Y26" s="15" t="s">
        <v>322</v>
      </c>
    </row>
    <row r="27" customFormat="false" ht="15" hidden="false" customHeight="true" outlineLevel="0" collapsed="false">
      <c r="A27" s="16" t="s">
        <v>104</v>
      </c>
      <c r="B27" s="16" t="s">
        <v>213</v>
      </c>
      <c r="C27" s="8" t="s">
        <v>319</v>
      </c>
      <c r="D27" s="16" t="n">
        <v>2</v>
      </c>
      <c r="E27" s="8" t="s">
        <v>323</v>
      </c>
      <c r="F27" s="9" t="s">
        <v>324</v>
      </c>
      <c r="G27" s="8" t="s">
        <v>217</v>
      </c>
      <c r="H27" s="8"/>
      <c r="I27" s="8"/>
      <c r="J27" s="8"/>
      <c r="K27" s="8" t="n">
        <v>5</v>
      </c>
      <c r="L27" s="8" t="n">
        <v>2.5</v>
      </c>
      <c r="M27" s="8" t="s">
        <v>218</v>
      </c>
      <c r="N27" s="14" t="n">
        <f aca="false">Rules!$B$5</f>
        <v>10</v>
      </c>
      <c r="O27" s="16" t="n">
        <f aca="false">K27+L27*(N27-1)</f>
        <v>27.5</v>
      </c>
      <c r="P27" s="16" t="str">
        <f aca="false">IF(H27="","",H27+IF(J27="",0,J27)*(N27-1))</f>
        <v/>
      </c>
      <c r="Q27" s="9" t="s">
        <v>325</v>
      </c>
      <c r="R27" s="9" t="s">
        <v>326</v>
      </c>
      <c r="S27" s="16" t="n">
        <f aca="false">INDEX(Rules!$B$11:$B$15,MATCH("Row unlock: "&amp;B27,Rules!$A$11:$A$15,0))+(D27-1)*Rules!$B$10</f>
        <v>6</v>
      </c>
      <c r="T27" s="16" t="n">
        <f aca="false">S27+(N27-1)*Rules!$B$8</f>
        <v>42</v>
      </c>
      <c r="U27" s="8"/>
      <c r="V27" s="9"/>
      <c r="W27" s="8" t="s">
        <v>243</v>
      </c>
      <c r="X27" s="15" t="n">
        <v>23</v>
      </c>
      <c r="Y27" s="15" t="s">
        <v>327</v>
      </c>
    </row>
    <row r="28" customFormat="false" ht="23.25" hidden="false" customHeight="true" outlineLevel="0" collapsed="false">
      <c r="A28" s="16" t="s">
        <v>104</v>
      </c>
      <c r="B28" s="16" t="s">
        <v>213</v>
      </c>
      <c r="C28" s="8" t="s">
        <v>319</v>
      </c>
      <c r="D28" s="16" t="n">
        <v>3</v>
      </c>
      <c r="E28" s="8" t="s">
        <v>328</v>
      </c>
      <c r="F28" s="9" t="s">
        <v>329</v>
      </c>
      <c r="G28" s="8" t="s">
        <v>217</v>
      </c>
      <c r="H28" s="8"/>
      <c r="I28" s="8"/>
      <c r="J28" s="8"/>
      <c r="K28" s="8" t="n">
        <v>10</v>
      </c>
      <c r="L28" s="8" t="n">
        <v>4</v>
      </c>
      <c r="M28" s="8" t="s">
        <v>330</v>
      </c>
      <c r="N28" s="14" t="n">
        <f aca="false">Rules!$B$5</f>
        <v>10</v>
      </c>
      <c r="O28" s="16" t="n">
        <f aca="false">K28+L28*(N28-1)</f>
        <v>46</v>
      </c>
      <c r="P28" s="16" t="str">
        <f aca="false">IF(H28="","",H28+IF(J28="",0,J28)*(N28-1))</f>
        <v/>
      </c>
      <c r="Q28" s="9" t="s">
        <v>331</v>
      </c>
      <c r="R28" s="9" t="s">
        <v>332</v>
      </c>
      <c r="S28" s="16" t="n">
        <f aca="false">INDEX(Rules!$B$11:$B$15,MATCH("Row unlock: "&amp;B28,Rules!$A$11:$A$15,0))+(D28-1)*Rules!$B$10</f>
        <v>11</v>
      </c>
      <c r="T28" s="16" t="n">
        <f aca="false">S28+(N28-1)*Rules!$B$8</f>
        <v>47</v>
      </c>
      <c r="U28" s="8"/>
      <c r="V28" s="9" t="s">
        <v>333</v>
      </c>
      <c r="W28" s="8" t="s">
        <v>243</v>
      </c>
      <c r="X28" s="15" t="n">
        <v>24</v>
      </c>
      <c r="Y28" s="15" t="s">
        <v>334</v>
      </c>
    </row>
    <row r="29" customFormat="false" ht="23.25" hidden="false" customHeight="true" outlineLevel="0" collapsed="false">
      <c r="A29" s="16" t="s">
        <v>104</v>
      </c>
      <c r="B29" s="16" t="s">
        <v>236</v>
      </c>
      <c r="C29" s="8" t="s">
        <v>335</v>
      </c>
      <c r="D29" s="16" t="n">
        <v>1</v>
      </c>
      <c r="E29" s="8" t="s">
        <v>336</v>
      </c>
      <c r="F29" s="9" t="s">
        <v>337</v>
      </c>
      <c r="G29" s="8" t="s">
        <v>217</v>
      </c>
      <c r="H29" s="8"/>
      <c r="I29" s="8"/>
      <c r="J29" s="8"/>
      <c r="K29" s="8" t="n">
        <v>10</v>
      </c>
      <c r="L29" s="8" t="n">
        <v>3</v>
      </c>
      <c r="M29" s="8" t="s">
        <v>82</v>
      </c>
      <c r="N29" s="14" t="n">
        <f aca="false">Rules!$B$5</f>
        <v>10</v>
      </c>
      <c r="O29" s="16" t="n">
        <f aca="false">K29+L29*(N29-1)</f>
        <v>37</v>
      </c>
      <c r="P29" s="16" t="str">
        <f aca="false">IF(H29="","",H29+IF(J29="",0,J29)*(N29-1))</f>
        <v/>
      </c>
      <c r="Q29" s="9" t="s">
        <v>338</v>
      </c>
      <c r="R29" s="9" t="s">
        <v>339</v>
      </c>
      <c r="S29" s="16" t="n">
        <f aca="false">INDEX(Rules!$B$11:$B$15,MATCH("Row unlock: "&amp;B29,Rules!$A$11:$A$15,0))+(D29-1)*Rules!$B$10</f>
        <v>10</v>
      </c>
      <c r="T29" s="16" t="n">
        <f aca="false">S29+(N29-1)*Rules!$B$8</f>
        <v>46</v>
      </c>
      <c r="U29" s="8"/>
      <c r="V29" s="9" t="s">
        <v>234</v>
      </c>
      <c r="W29" s="8" t="s">
        <v>172</v>
      </c>
      <c r="X29" s="15" t="n">
        <v>25</v>
      </c>
      <c r="Y29" s="15" t="s">
        <v>340</v>
      </c>
    </row>
    <row r="30" customFormat="false" ht="15" hidden="false" customHeight="true" outlineLevel="0" collapsed="false">
      <c r="A30" s="16" t="s">
        <v>104</v>
      </c>
      <c r="B30" s="16" t="s">
        <v>236</v>
      </c>
      <c r="C30" s="8" t="s">
        <v>335</v>
      </c>
      <c r="D30" s="16" t="n">
        <v>2</v>
      </c>
      <c r="E30" s="8" t="s">
        <v>341</v>
      </c>
      <c r="F30" s="9" t="s">
        <v>342</v>
      </c>
      <c r="G30" s="8" t="s">
        <v>217</v>
      </c>
      <c r="H30" s="8"/>
      <c r="I30" s="8"/>
      <c r="J30" s="8"/>
      <c r="K30" s="8" t="n">
        <v>10</v>
      </c>
      <c r="L30" s="8" t="n">
        <v>4</v>
      </c>
      <c r="M30" s="8" t="s">
        <v>343</v>
      </c>
      <c r="N30" s="14" t="n">
        <f aca="false">Rules!$B$5</f>
        <v>10</v>
      </c>
      <c r="O30" s="16" t="n">
        <f aca="false">K30+L30*(N30-1)</f>
        <v>46</v>
      </c>
      <c r="P30" s="16" t="str">
        <f aca="false">IF(H30="","",H30+IF(J30="",0,J30)*(N30-1))</f>
        <v/>
      </c>
      <c r="Q30" s="9" t="s">
        <v>344</v>
      </c>
      <c r="R30" s="9" t="s">
        <v>345</v>
      </c>
      <c r="S30" s="16" t="n">
        <f aca="false">INDEX(Rules!$B$11:$B$15,MATCH("Row unlock: "&amp;B30,Rules!$A$11:$A$15,0))+(D30-1)*Rules!$B$10</f>
        <v>15</v>
      </c>
      <c r="T30" s="16" t="n">
        <f aca="false">S30+(N30-1)*Rules!$B$8</f>
        <v>51</v>
      </c>
      <c r="U30" s="8"/>
      <c r="V30" s="9" t="s">
        <v>346</v>
      </c>
      <c r="W30" s="8" t="s">
        <v>243</v>
      </c>
      <c r="X30" s="15" t="n">
        <v>26</v>
      </c>
      <c r="Y30" s="15" t="s">
        <v>347</v>
      </c>
    </row>
    <row r="31" customFormat="false" ht="23.25" hidden="false" customHeight="true" outlineLevel="0" collapsed="false">
      <c r="A31" s="16" t="s">
        <v>104</v>
      </c>
      <c r="B31" s="16" t="s">
        <v>236</v>
      </c>
      <c r="C31" s="8" t="s">
        <v>335</v>
      </c>
      <c r="D31" s="16" t="n">
        <v>3</v>
      </c>
      <c r="E31" s="8" t="s">
        <v>348</v>
      </c>
      <c r="F31" s="9" t="s">
        <v>349</v>
      </c>
      <c r="G31" s="8" t="s">
        <v>217</v>
      </c>
      <c r="H31" s="8"/>
      <c r="I31" s="8"/>
      <c r="J31" s="8"/>
      <c r="K31" s="8" t="n">
        <v>1</v>
      </c>
      <c r="L31" s="8" t="n">
        <v>0.3</v>
      </c>
      <c r="M31" s="8" t="s">
        <v>218</v>
      </c>
      <c r="N31" s="14" t="n">
        <f aca="false">Rules!$B$5</f>
        <v>10</v>
      </c>
      <c r="O31" s="16" t="n">
        <f aca="false">K31+L31*(N31-1)</f>
        <v>3.7</v>
      </c>
      <c r="P31" s="16" t="str">
        <f aca="false">IF(H31="","",H31+IF(J31="",0,J31)*(N31-1))</f>
        <v/>
      </c>
      <c r="Q31" s="9" t="s">
        <v>350</v>
      </c>
      <c r="R31" s="9" t="s">
        <v>351</v>
      </c>
      <c r="S31" s="16" t="n">
        <f aca="false">INDEX(Rules!$B$11:$B$15,MATCH("Row unlock: "&amp;B31,Rules!$A$11:$A$15,0))+(D31-1)*Rules!$B$10</f>
        <v>20</v>
      </c>
      <c r="T31" s="16" t="n">
        <f aca="false">S31+(N31-1)*Rules!$B$8</f>
        <v>56</v>
      </c>
      <c r="U31" s="8"/>
      <c r="V31" s="9"/>
      <c r="W31" s="8" t="s">
        <v>243</v>
      </c>
      <c r="X31" s="15" t="n">
        <v>27</v>
      </c>
      <c r="Y31" s="15" t="s">
        <v>352</v>
      </c>
    </row>
    <row r="32" customFormat="false" ht="23.25" hidden="false" customHeight="true" outlineLevel="0" collapsed="false">
      <c r="A32" s="16" t="s">
        <v>104</v>
      </c>
      <c r="B32" s="16" t="s">
        <v>257</v>
      </c>
      <c r="C32" s="8" t="s">
        <v>353</v>
      </c>
      <c r="D32" s="16" t="n">
        <v>1</v>
      </c>
      <c r="E32" s="8" t="s">
        <v>354</v>
      </c>
      <c r="F32" s="9" t="s">
        <v>355</v>
      </c>
      <c r="G32" s="8" t="s">
        <v>217</v>
      </c>
      <c r="H32" s="8"/>
      <c r="I32" s="8"/>
      <c r="J32" s="8"/>
      <c r="K32" s="8" t="n">
        <v>20</v>
      </c>
      <c r="L32" s="8" t="n">
        <v>6</v>
      </c>
      <c r="M32" s="8" t="s">
        <v>343</v>
      </c>
      <c r="N32" s="14" t="n">
        <f aca="false">Rules!$B$5</f>
        <v>10</v>
      </c>
      <c r="O32" s="16" t="n">
        <f aca="false">K32+L32*(N32-1)</f>
        <v>74</v>
      </c>
      <c r="P32" s="16" t="str">
        <f aca="false">IF(H32="","",H32+IF(J32="",0,J32)*(N32-1))</f>
        <v/>
      </c>
      <c r="Q32" s="9" t="s">
        <v>356</v>
      </c>
      <c r="R32" s="9" t="s">
        <v>357</v>
      </c>
      <c r="S32" s="16" t="n">
        <f aca="false">INDEX(Rules!$B$11:$B$15,MATCH("Row unlock: "&amp;B32,Rules!$A$11:$A$15,0))+(D32-1)*Rules!$B$10</f>
        <v>30</v>
      </c>
      <c r="T32" s="16" t="n">
        <f aca="false">S32+(N32-1)*Rules!$B$8</f>
        <v>66</v>
      </c>
      <c r="U32" s="8"/>
      <c r="V32" s="9" t="s">
        <v>358</v>
      </c>
      <c r="W32" s="8" t="s">
        <v>190</v>
      </c>
      <c r="X32" s="15" t="n">
        <v>28</v>
      </c>
      <c r="Y32" s="15" t="s">
        <v>359</v>
      </c>
    </row>
    <row r="33" customFormat="false" ht="15" hidden="false" customHeight="true" outlineLevel="0" collapsed="false">
      <c r="A33" s="16" t="s">
        <v>104</v>
      </c>
      <c r="B33" s="16" t="s">
        <v>257</v>
      </c>
      <c r="C33" s="8" t="s">
        <v>353</v>
      </c>
      <c r="D33" s="16" t="n">
        <v>2</v>
      </c>
      <c r="E33" s="8" t="s">
        <v>360</v>
      </c>
      <c r="F33" s="9" t="s">
        <v>361</v>
      </c>
      <c r="G33" s="8" t="s">
        <v>176</v>
      </c>
      <c r="H33" s="8" t="n">
        <v>6</v>
      </c>
      <c r="I33" s="8" t="s">
        <v>177</v>
      </c>
      <c r="J33" s="8" t="n">
        <v>0</v>
      </c>
      <c r="K33" s="8" t="n">
        <v>0.8</v>
      </c>
      <c r="L33" s="8" t="n">
        <v>0.12</v>
      </c>
      <c r="M33" s="8" t="s">
        <v>63</v>
      </c>
      <c r="N33" s="14" t="n">
        <f aca="false">Rules!$B$5</f>
        <v>10</v>
      </c>
      <c r="O33" s="16" t="n">
        <f aca="false">K33+L33*(N33-1)</f>
        <v>1.88</v>
      </c>
      <c r="P33" s="16" t="n">
        <f aca="false">IF(H33="","",H33+IF(J33="",0,J33)*(N33-1))</f>
        <v>6</v>
      </c>
      <c r="Q33" s="9" t="s">
        <v>362</v>
      </c>
      <c r="R33" s="9" t="s">
        <v>363</v>
      </c>
      <c r="S33" s="16" t="n">
        <f aca="false">INDEX(Rules!$B$11:$B$15,MATCH("Row unlock: "&amp;B33,Rules!$A$11:$A$15,0))+(D33-1)*Rules!$B$10</f>
        <v>35</v>
      </c>
      <c r="T33" s="16" t="n">
        <f aca="false">S33+(N33-1)*Rules!$B$8</f>
        <v>71</v>
      </c>
      <c r="U33" s="8" t="s">
        <v>180</v>
      </c>
      <c r="V33" s="9" t="s">
        <v>364</v>
      </c>
      <c r="W33" s="8" t="s">
        <v>172</v>
      </c>
      <c r="X33" s="15" t="n">
        <v>29</v>
      </c>
      <c r="Y33" s="15" t="s">
        <v>365</v>
      </c>
    </row>
    <row r="34" customFormat="false" ht="15" hidden="false" customHeight="true" outlineLevel="0" collapsed="false">
      <c r="A34" s="16" t="s">
        <v>104</v>
      </c>
      <c r="B34" s="16" t="s">
        <v>257</v>
      </c>
      <c r="C34" s="8" t="s">
        <v>353</v>
      </c>
      <c r="D34" s="16" t="n">
        <v>3</v>
      </c>
      <c r="E34" s="8" t="s">
        <v>366</v>
      </c>
      <c r="F34" s="9" t="s">
        <v>367</v>
      </c>
      <c r="G34" s="8" t="s">
        <v>217</v>
      </c>
      <c r="H34" s="8"/>
      <c r="I34" s="8"/>
      <c r="J34" s="8"/>
      <c r="K34" s="8" t="n">
        <v>3</v>
      </c>
      <c r="L34" s="8" t="n">
        <v>1</v>
      </c>
      <c r="M34" s="8" t="s">
        <v>82</v>
      </c>
      <c r="N34" s="14" t="n">
        <f aca="false">Rules!$B$5</f>
        <v>10</v>
      </c>
      <c r="O34" s="16" t="n">
        <f aca="false">K34+L34*(N34-1)</f>
        <v>12</v>
      </c>
      <c r="P34" s="16" t="str">
        <f aca="false">IF(H34="","",H34+IF(J34="",0,J34)*(N34-1))</f>
        <v/>
      </c>
      <c r="Q34" s="9" t="s">
        <v>368</v>
      </c>
      <c r="R34" s="9" t="s">
        <v>369</v>
      </c>
      <c r="S34" s="16" t="n">
        <f aca="false">INDEX(Rules!$B$11:$B$15,MATCH("Row unlock: "&amp;B34,Rules!$A$11:$A$15,0))+(D34-1)*Rules!$B$10</f>
        <v>40</v>
      </c>
      <c r="T34" s="16" t="n">
        <f aca="false">S34+(N34-1)*Rules!$B$8</f>
        <v>76</v>
      </c>
      <c r="U34" s="8"/>
      <c r="V34" s="9" t="s">
        <v>370</v>
      </c>
      <c r="W34" s="8" t="s">
        <v>243</v>
      </c>
      <c r="X34" s="15" t="n">
        <v>30</v>
      </c>
      <c r="Y34" s="15" t="s">
        <v>371</v>
      </c>
    </row>
    <row r="35" customFormat="false" ht="23.25" hidden="false" customHeight="true" outlineLevel="0" collapsed="false">
      <c r="A35" s="16" t="s">
        <v>120</v>
      </c>
      <c r="B35" s="16" t="s">
        <v>162</v>
      </c>
      <c r="C35" s="8" t="s">
        <v>372</v>
      </c>
      <c r="D35" s="16" t="n">
        <v>1</v>
      </c>
      <c r="E35" s="8" t="s">
        <v>373</v>
      </c>
      <c r="F35" s="9" t="s">
        <v>374</v>
      </c>
      <c r="G35" s="8" t="s">
        <v>166</v>
      </c>
      <c r="H35" s="8" t="n">
        <v>14</v>
      </c>
      <c r="I35" s="8" t="s">
        <v>63</v>
      </c>
      <c r="J35" s="8" t="n">
        <v>-0.4</v>
      </c>
      <c r="K35" s="8" t="n">
        <v>120</v>
      </c>
      <c r="L35" s="8" t="n">
        <v>12</v>
      </c>
      <c r="M35" s="8" t="s">
        <v>79</v>
      </c>
      <c r="N35" s="14" t="n">
        <f aca="false">Rules!$B$5</f>
        <v>10</v>
      </c>
      <c r="O35" s="16" t="n">
        <f aca="false">K35+L35*(N35-1)</f>
        <v>228</v>
      </c>
      <c r="P35" s="16" t="n">
        <f aca="false">IF(H35="","",H35+IF(J35="",0,J35)*(N35-1))</f>
        <v>10.4</v>
      </c>
      <c r="Q35" s="9" t="s">
        <v>375</v>
      </c>
      <c r="R35" s="9" t="s">
        <v>376</v>
      </c>
      <c r="S35" s="16" t="n">
        <f aca="false">INDEX(Rules!$B$11:$B$15,MATCH("Row unlock: "&amp;B35,Rules!$A$11:$A$15,0))+(D35-1)*Rules!$B$10</f>
        <v>1</v>
      </c>
      <c r="T35" s="16" t="n">
        <f aca="false">S35+(N35-1)*Rules!$B$8</f>
        <v>37</v>
      </c>
      <c r="U35" s="8" t="s">
        <v>377</v>
      </c>
      <c r="V35" s="9" t="s">
        <v>378</v>
      </c>
      <c r="W35" s="8" t="s">
        <v>172</v>
      </c>
      <c r="X35" s="15" t="n">
        <v>31</v>
      </c>
      <c r="Y35" s="15" t="s">
        <v>379</v>
      </c>
    </row>
    <row r="36" customFormat="false" ht="23.25" hidden="false" customHeight="true" outlineLevel="0" collapsed="false">
      <c r="A36" s="16" t="s">
        <v>120</v>
      </c>
      <c r="B36" s="16" t="s">
        <v>162</v>
      </c>
      <c r="C36" s="8" t="s">
        <v>372</v>
      </c>
      <c r="D36" s="16" t="n">
        <v>2</v>
      </c>
      <c r="E36" s="8" t="s">
        <v>380</v>
      </c>
      <c r="F36" s="9" t="s">
        <v>381</v>
      </c>
      <c r="G36" s="8" t="s">
        <v>166</v>
      </c>
      <c r="H36" s="8" t="n">
        <v>20</v>
      </c>
      <c r="I36" s="8" t="s">
        <v>63</v>
      </c>
      <c r="J36" s="8" t="n">
        <v>-0.5</v>
      </c>
      <c r="K36" s="8" t="n">
        <v>45</v>
      </c>
      <c r="L36" s="8" t="n">
        <v>5</v>
      </c>
      <c r="M36" s="8" t="s">
        <v>382</v>
      </c>
      <c r="N36" s="14" t="n">
        <f aca="false">Rules!$B$5</f>
        <v>10</v>
      </c>
      <c r="O36" s="16" t="n">
        <f aca="false">K36+L36*(N36-1)</f>
        <v>90</v>
      </c>
      <c r="P36" s="16" t="n">
        <f aca="false">IF(H36="","",H36+IF(J36="",0,J36)*(N36-1))</f>
        <v>15.5</v>
      </c>
      <c r="Q36" s="9" t="s">
        <v>383</v>
      </c>
      <c r="R36" s="9" t="s">
        <v>384</v>
      </c>
      <c r="S36" s="16" t="n">
        <f aca="false">INDEX(Rules!$B$11:$B$15,MATCH("Row unlock: "&amp;B36,Rules!$A$11:$A$15,0))+(D36-1)*Rules!$B$10</f>
        <v>6</v>
      </c>
      <c r="T36" s="16" t="n">
        <f aca="false">S36+(N36-1)*Rules!$B$8</f>
        <v>42</v>
      </c>
      <c r="U36" s="8" t="s">
        <v>377</v>
      </c>
      <c r="V36" s="9" t="s">
        <v>385</v>
      </c>
      <c r="W36" s="8" t="s">
        <v>243</v>
      </c>
      <c r="X36" s="15" t="n">
        <v>32</v>
      </c>
      <c r="Y36" s="15" t="s">
        <v>386</v>
      </c>
    </row>
    <row r="37" customFormat="false" ht="23.25" hidden="false" customHeight="true" outlineLevel="0" collapsed="false">
      <c r="A37" s="16" t="s">
        <v>120</v>
      </c>
      <c r="B37" s="16" t="s">
        <v>162</v>
      </c>
      <c r="C37" s="8" t="s">
        <v>372</v>
      </c>
      <c r="D37" s="16" t="n">
        <v>3</v>
      </c>
      <c r="E37" s="8" t="s">
        <v>387</v>
      </c>
      <c r="F37" s="9" t="s">
        <v>388</v>
      </c>
      <c r="G37" s="8" t="s">
        <v>176</v>
      </c>
      <c r="H37" s="8" t="n">
        <v>10</v>
      </c>
      <c r="I37" s="8" t="s">
        <v>177</v>
      </c>
      <c r="J37" s="8" t="n">
        <v>-0.4</v>
      </c>
      <c r="K37" s="8" t="n">
        <v>150</v>
      </c>
      <c r="L37" s="8" t="n">
        <v>10</v>
      </c>
      <c r="M37" s="8" t="s">
        <v>79</v>
      </c>
      <c r="N37" s="14" t="n">
        <f aca="false">Rules!$B$5</f>
        <v>10</v>
      </c>
      <c r="O37" s="16" t="n">
        <f aca="false">K37+L37*(N37-1)</f>
        <v>240</v>
      </c>
      <c r="P37" s="16" t="n">
        <f aca="false">IF(H37="","",H37+IF(J37="",0,J37)*(N37-1))</f>
        <v>6.4</v>
      </c>
      <c r="Q37" s="9" t="s">
        <v>389</v>
      </c>
      <c r="R37" s="9" t="s">
        <v>390</v>
      </c>
      <c r="S37" s="16" t="n">
        <f aca="false">INDEX(Rules!$B$11:$B$15,MATCH("Row unlock: "&amp;B37,Rules!$A$11:$A$15,0))+(D37-1)*Rules!$B$10</f>
        <v>11</v>
      </c>
      <c r="T37" s="16" t="n">
        <f aca="false">S37+(N37-1)*Rules!$B$8</f>
        <v>47</v>
      </c>
      <c r="U37" s="8" t="s">
        <v>391</v>
      </c>
      <c r="V37" s="9" t="s">
        <v>392</v>
      </c>
      <c r="W37" s="8" t="s">
        <v>243</v>
      </c>
      <c r="X37" s="15" t="n">
        <v>33</v>
      </c>
      <c r="Y37" s="15" t="s">
        <v>393</v>
      </c>
    </row>
    <row r="38" customFormat="false" ht="15" hidden="false" customHeight="true" outlineLevel="0" collapsed="false">
      <c r="A38" s="16" t="s">
        <v>120</v>
      </c>
      <c r="B38" s="16" t="s">
        <v>192</v>
      </c>
      <c r="C38" s="8" t="s">
        <v>163</v>
      </c>
      <c r="D38" s="16" t="n">
        <v>1</v>
      </c>
      <c r="E38" s="8" t="s">
        <v>394</v>
      </c>
      <c r="F38" s="9" t="s">
        <v>395</v>
      </c>
      <c r="G38" s="8" t="s">
        <v>166</v>
      </c>
      <c r="H38" s="8" t="n">
        <v>16</v>
      </c>
      <c r="I38" s="8" t="s">
        <v>63</v>
      </c>
      <c r="J38" s="8" t="n">
        <v>-0.4</v>
      </c>
      <c r="K38" s="8" t="n">
        <v>2</v>
      </c>
      <c r="L38" s="8" t="n">
        <v>0.2</v>
      </c>
      <c r="M38" s="8" t="s">
        <v>63</v>
      </c>
      <c r="N38" s="14" t="n">
        <f aca="false">Rules!$B$5</f>
        <v>10</v>
      </c>
      <c r="O38" s="16" t="n">
        <f aca="false">K38+L38*(N38-1)</f>
        <v>3.8</v>
      </c>
      <c r="P38" s="16" t="n">
        <f aca="false">IF(H38="","",H38+IF(J38="",0,J38)*(N38-1))</f>
        <v>12.4</v>
      </c>
      <c r="Q38" s="9" t="s">
        <v>396</v>
      </c>
      <c r="R38" s="9" t="s">
        <v>397</v>
      </c>
      <c r="S38" s="16" t="n">
        <f aca="false">INDEX(Rules!$B$11:$B$15,MATCH("Row unlock: "&amp;B38,Rules!$A$11:$A$15,0))+(D38-1)*Rules!$B$10</f>
        <v>20</v>
      </c>
      <c r="T38" s="16" t="n">
        <f aca="false">S38+(N38-1)*Rules!$B$8</f>
        <v>56</v>
      </c>
      <c r="U38" s="8" t="s">
        <v>377</v>
      </c>
      <c r="V38" s="9" t="s">
        <v>398</v>
      </c>
      <c r="W38" s="8" t="s">
        <v>172</v>
      </c>
      <c r="X38" s="15" t="n">
        <v>34</v>
      </c>
      <c r="Y38" s="15" t="s">
        <v>399</v>
      </c>
    </row>
    <row r="39" customFormat="false" ht="23.25" hidden="false" customHeight="true" outlineLevel="0" collapsed="false">
      <c r="A39" s="16" t="s">
        <v>120</v>
      </c>
      <c r="B39" s="16" t="s">
        <v>192</v>
      </c>
      <c r="C39" s="8" t="s">
        <v>163</v>
      </c>
      <c r="D39" s="16" t="n">
        <v>2</v>
      </c>
      <c r="E39" s="8" t="s">
        <v>400</v>
      </c>
      <c r="F39" s="9" t="s">
        <v>401</v>
      </c>
      <c r="G39" s="8" t="s">
        <v>285</v>
      </c>
      <c r="H39" s="8" t="n">
        <v>20</v>
      </c>
      <c r="I39" s="8" t="s">
        <v>402</v>
      </c>
      <c r="J39" s="8" t="n">
        <v>-0.5</v>
      </c>
      <c r="K39" s="8" t="n">
        <v>8</v>
      </c>
      <c r="L39" s="8" t="n">
        <v>1.5</v>
      </c>
      <c r="M39" s="8" t="s">
        <v>403</v>
      </c>
      <c r="N39" s="14" t="n">
        <f aca="false">Rules!$B$5</f>
        <v>10</v>
      </c>
      <c r="O39" s="16" t="n">
        <f aca="false">K39+L39*(N39-1)</f>
        <v>21.5</v>
      </c>
      <c r="P39" s="16" t="n">
        <f aca="false">IF(H39="","",H39+IF(J39="",0,J39)*(N39-1))</f>
        <v>15.5</v>
      </c>
      <c r="Q39" s="9" t="s">
        <v>404</v>
      </c>
      <c r="R39" s="9" t="s">
        <v>405</v>
      </c>
      <c r="S39" s="16" t="n">
        <f aca="false">INDEX(Rules!$B$11:$B$15,MATCH("Row unlock: "&amp;B39,Rules!$A$11:$A$15,0))+(D39-1)*Rules!$B$10</f>
        <v>25</v>
      </c>
      <c r="T39" s="16" t="n">
        <f aca="false">S39+(N39-1)*Rules!$B$8</f>
        <v>61</v>
      </c>
      <c r="U39" s="8" t="s">
        <v>170</v>
      </c>
      <c r="V39" s="9" t="s">
        <v>406</v>
      </c>
      <c r="W39" s="8" t="s">
        <v>243</v>
      </c>
      <c r="X39" s="15" t="n">
        <v>35</v>
      </c>
      <c r="Y39" s="15" t="s">
        <v>407</v>
      </c>
    </row>
    <row r="40" customFormat="false" ht="15" hidden="false" customHeight="true" outlineLevel="0" collapsed="false">
      <c r="A40" s="16" t="s">
        <v>120</v>
      </c>
      <c r="B40" s="16" t="s">
        <v>192</v>
      </c>
      <c r="C40" s="8" t="s">
        <v>163</v>
      </c>
      <c r="D40" s="16" t="n">
        <v>3</v>
      </c>
      <c r="E40" s="8" t="s">
        <v>408</v>
      </c>
      <c r="F40" s="9" t="s">
        <v>409</v>
      </c>
      <c r="G40" s="8" t="s">
        <v>410</v>
      </c>
      <c r="H40" s="8" t="n">
        <v>15</v>
      </c>
      <c r="I40" s="8" t="s">
        <v>411</v>
      </c>
      <c r="J40" s="8" t="n">
        <v>-0.5</v>
      </c>
      <c r="K40" s="8" t="n">
        <v>5</v>
      </c>
      <c r="L40" s="8" t="n">
        <v>1</v>
      </c>
      <c r="M40" s="8" t="s">
        <v>412</v>
      </c>
      <c r="N40" s="14" t="n">
        <f aca="false">Rules!$B$5</f>
        <v>10</v>
      </c>
      <c r="O40" s="16" t="n">
        <f aca="false">K40+L40*(N40-1)</f>
        <v>14</v>
      </c>
      <c r="P40" s="16" t="n">
        <f aca="false">IF(H40="","",H40+IF(J40="",0,J40)*(N40-1))</f>
        <v>10.5</v>
      </c>
      <c r="Q40" s="9" t="s">
        <v>413</v>
      </c>
      <c r="R40" s="9" t="s">
        <v>414</v>
      </c>
      <c r="S40" s="16" t="n">
        <f aca="false">INDEX(Rules!$B$11:$B$15,MATCH("Row unlock: "&amp;B40,Rules!$A$11:$A$15,0))+(D40-1)*Rules!$B$10</f>
        <v>30</v>
      </c>
      <c r="T40" s="16" t="n">
        <f aca="false">S40+(N40-1)*Rules!$B$8</f>
        <v>66</v>
      </c>
      <c r="U40" s="8" t="s">
        <v>170</v>
      </c>
      <c r="V40" s="9"/>
      <c r="W40" s="8" t="s">
        <v>243</v>
      </c>
      <c r="X40" s="15" t="n">
        <v>36</v>
      </c>
      <c r="Y40" s="15" t="s">
        <v>415</v>
      </c>
    </row>
    <row r="41" customFormat="false" ht="15" hidden="false" customHeight="true" outlineLevel="0" collapsed="false">
      <c r="A41" s="16" t="s">
        <v>120</v>
      </c>
      <c r="B41" s="16" t="s">
        <v>213</v>
      </c>
      <c r="C41" s="8" t="s">
        <v>416</v>
      </c>
      <c r="D41" s="16" t="n">
        <v>1</v>
      </c>
      <c r="E41" s="8" t="s">
        <v>417</v>
      </c>
      <c r="F41" s="9" t="s">
        <v>418</v>
      </c>
      <c r="G41" s="8" t="s">
        <v>217</v>
      </c>
      <c r="H41" s="8"/>
      <c r="I41" s="8"/>
      <c r="J41" s="8"/>
      <c r="K41" s="8" t="n">
        <v>3</v>
      </c>
      <c r="L41" s="8" t="n">
        <v>3</v>
      </c>
      <c r="M41" s="8" t="s">
        <v>231</v>
      </c>
      <c r="N41" s="14" t="n">
        <f aca="false">Rules!$B$5</f>
        <v>10</v>
      </c>
      <c r="O41" s="16" t="n">
        <f aca="false">K41+L41*(N41-1)</f>
        <v>30</v>
      </c>
      <c r="P41" s="16" t="str">
        <f aca="false">IF(H41="","",H41+IF(J41="",0,J41)*(N41-1))</f>
        <v/>
      </c>
      <c r="Q41" s="9" t="s">
        <v>419</v>
      </c>
      <c r="R41" s="9" t="s">
        <v>420</v>
      </c>
      <c r="S41" s="16" t="n">
        <f aca="false">INDEX(Rules!$B$11:$B$15,MATCH("Row unlock: "&amp;B41,Rules!$A$11:$A$15,0))+(D41-1)*Rules!$B$10</f>
        <v>1</v>
      </c>
      <c r="T41" s="16" t="n">
        <f aca="false">S41+(N41-1)*Rules!$B$8</f>
        <v>37</v>
      </c>
      <c r="U41" s="8"/>
      <c r="V41" s="9" t="s">
        <v>421</v>
      </c>
      <c r="W41" s="8" t="s">
        <v>172</v>
      </c>
      <c r="X41" s="15" t="n">
        <v>37</v>
      </c>
      <c r="Y41" s="15" t="s">
        <v>422</v>
      </c>
    </row>
    <row r="42" customFormat="false" ht="15" hidden="false" customHeight="true" outlineLevel="0" collapsed="false">
      <c r="A42" s="16" t="s">
        <v>120</v>
      </c>
      <c r="B42" s="16" t="s">
        <v>213</v>
      </c>
      <c r="C42" s="8" t="s">
        <v>416</v>
      </c>
      <c r="D42" s="16" t="n">
        <v>2</v>
      </c>
      <c r="E42" s="8" t="s">
        <v>423</v>
      </c>
      <c r="F42" s="9" t="s">
        <v>424</v>
      </c>
      <c r="G42" s="8" t="s">
        <v>217</v>
      </c>
      <c r="H42" s="8"/>
      <c r="I42" s="8"/>
      <c r="J42" s="8"/>
      <c r="K42" s="8" t="n">
        <v>10</v>
      </c>
      <c r="L42" s="8" t="n">
        <v>4</v>
      </c>
      <c r="M42" s="8" t="s">
        <v>79</v>
      </c>
      <c r="N42" s="14" t="n">
        <f aca="false">Rules!$B$5</f>
        <v>10</v>
      </c>
      <c r="O42" s="16" t="n">
        <f aca="false">K42+L42*(N42-1)</f>
        <v>46</v>
      </c>
      <c r="P42" s="16" t="str">
        <f aca="false">IF(H42="","",H42+IF(J42="",0,J42)*(N42-1))</f>
        <v/>
      </c>
      <c r="Q42" s="9" t="s">
        <v>425</v>
      </c>
      <c r="R42" s="9" t="s">
        <v>426</v>
      </c>
      <c r="S42" s="16" t="n">
        <f aca="false">INDEX(Rules!$B$11:$B$15,MATCH("Row unlock: "&amp;B42,Rules!$A$11:$A$15,0))+(D42-1)*Rules!$B$10</f>
        <v>6</v>
      </c>
      <c r="T42" s="16" t="n">
        <f aca="false">S42+(N42-1)*Rules!$B$8</f>
        <v>42</v>
      </c>
      <c r="U42" s="8"/>
      <c r="V42" s="9" t="s">
        <v>234</v>
      </c>
      <c r="W42" s="8" t="s">
        <v>172</v>
      </c>
      <c r="X42" s="15" t="n">
        <v>38</v>
      </c>
      <c r="Y42" s="15" t="s">
        <v>427</v>
      </c>
    </row>
    <row r="43" customFormat="false" ht="15" hidden="false" customHeight="true" outlineLevel="0" collapsed="false">
      <c r="A43" s="16" t="s">
        <v>120</v>
      </c>
      <c r="B43" s="16" t="s">
        <v>213</v>
      </c>
      <c r="C43" s="8" t="s">
        <v>416</v>
      </c>
      <c r="D43" s="16" t="n">
        <v>3</v>
      </c>
      <c r="E43" s="8" t="s">
        <v>428</v>
      </c>
      <c r="F43" s="9" t="s">
        <v>429</v>
      </c>
      <c r="G43" s="8" t="s">
        <v>217</v>
      </c>
      <c r="H43" s="8"/>
      <c r="I43" s="8"/>
      <c r="J43" s="8"/>
      <c r="K43" s="8" t="n">
        <v>6</v>
      </c>
      <c r="L43" s="8" t="n">
        <v>2</v>
      </c>
      <c r="M43" s="8" t="s">
        <v>343</v>
      </c>
      <c r="N43" s="14" t="n">
        <f aca="false">Rules!$B$5</f>
        <v>10</v>
      </c>
      <c r="O43" s="16" t="n">
        <f aca="false">K43+L43*(N43-1)</f>
        <v>24</v>
      </c>
      <c r="P43" s="16" t="str">
        <f aca="false">IF(H43="","",H43+IF(J43="",0,J43)*(N43-1))</f>
        <v/>
      </c>
      <c r="Q43" s="9" t="s">
        <v>430</v>
      </c>
      <c r="R43" s="9" t="s">
        <v>431</v>
      </c>
      <c r="S43" s="16" t="n">
        <f aca="false">INDEX(Rules!$B$11:$B$15,MATCH("Row unlock: "&amp;B43,Rules!$A$11:$A$15,0))+(D43-1)*Rules!$B$10</f>
        <v>11</v>
      </c>
      <c r="T43" s="16" t="n">
        <f aca="false">S43+(N43-1)*Rules!$B$8</f>
        <v>47</v>
      </c>
      <c r="U43" s="8"/>
      <c r="V43" s="9" t="s">
        <v>432</v>
      </c>
      <c r="W43" s="8" t="s">
        <v>172</v>
      </c>
      <c r="X43" s="15" t="n">
        <v>39</v>
      </c>
      <c r="Y43" s="15" t="s">
        <v>433</v>
      </c>
    </row>
    <row r="44" customFormat="false" ht="23.25" hidden="false" customHeight="true" outlineLevel="0" collapsed="false">
      <c r="A44" s="16" t="s">
        <v>120</v>
      </c>
      <c r="B44" s="16" t="s">
        <v>236</v>
      </c>
      <c r="C44" s="8" t="s">
        <v>434</v>
      </c>
      <c r="D44" s="16" t="n">
        <v>1</v>
      </c>
      <c r="E44" s="8" t="s">
        <v>435</v>
      </c>
      <c r="F44" s="9" t="s">
        <v>436</v>
      </c>
      <c r="G44" s="8" t="s">
        <v>217</v>
      </c>
      <c r="H44" s="8"/>
      <c r="I44" s="8"/>
      <c r="J44" s="8"/>
      <c r="K44" s="8" t="n">
        <v>4</v>
      </c>
      <c r="L44" s="8" t="n">
        <v>1</v>
      </c>
      <c r="M44" s="8" t="s">
        <v>343</v>
      </c>
      <c r="N44" s="14" t="n">
        <f aca="false">Rules!$B$5</f>
        <v>10</v>
      </c>
      <c r="O44" s="16" t="n">
        <f aca="false">K44+L44*(N44-1)</f>
        <v>13</v>
      </c>
      <c r="P44" s="16" t="str">
        <f aca="false">IF(H44="","",H44+IF(J44="",0,J44)*(N44-1))</f>
        <v/>
      </c>
      <c r="Q44" s="9" t="s">
        <v>437</v>
      </c>
      <c r="R44" s="9" t="s">
        <v>438</v>
      </c>
      <c r="S44" s="16" t="n">
        <f aca="false">INDEX(Rules!$B$11:$B$15,MATCH("Row unlock: "&amp;B44,Rules!$A$11:$A$15,0))+(D44-1)*Rules!$B$10</f>
        <v>10</v>
      </c>
      <c r="T44" s="16" t="n">
        <f aca="false">S44+(N44-1)*Rules!$B$8</f>
        <v>46</v>
      </c>
      <c r="U44" s="8"/>
      <c r="V44" s="9" t="s">
        <v>439</v>
      </c>
      <c r="W44" s="8" t="s">
        <v>172</v>
      </c>
      <c r="X44" s="15" t="n">
        <v>40</v>
      </c>
      <c r="Y44" s="15" t="s">
        <v>440</v>
      </c>
    </row>
    <row r="45" customFormat="false" ht="15" hidden="false" customHeight="true" outlineLevel="0" collapsed="false">
      <c r="A45" s="16" t="s">
        <v>120</v>
      </c>
      <c r="B45" s="16" t="s">
        <v>236</v>
      </c>
      <c r="C45" s="8" t="s">
        <v>434</v>
      </c>
      <c r="D45" s="16" t="n">
        <v>2</v>
      </c>
      <c r="E45" s="8" t="s">
        <v>441</v>
      </c>
      <c r="F45" s="9" t="s">
        <v>442</v>
      </c>
      <c r="G45" s="8" t="s">
        <v>443</v>
      </c>
      <c r="H45" s="8" t="n">
        <v>5</v>
      </c>
      <c r="I45" s="8" t="s">
        <v>444</v>
      </c>
      <c r="J45" s="8" t="n">
        <v>0</v>
      </c>
      <c r="K45" s="8" t="n">
        <v>30</v>
      </c>
      <c r="L45" s="8" t="n">
        <v>5</v>
      </c>
      <c r="M45" s="8" t="s">
        <v>445</v>
      </c>
      <c r="N45" s="14" t="n">
        <f aca="false">Rules!$B$5</f>
        <v>10</v>
      </c>
      <c r="O45" s="16" t="n">
        <f aca="false">K45+L45*(N45-1)</f>
        <v>75</v>
      </c>
      <c r="P45" s="16" t="n">
        <f aca="false">IF(H45="","",H45+IF(J45="",0,J45)*(N45-1))</f>
        <v>5</v>
      </c>
      <c r="Q45" s="9" t="s">
        <v>446</v>
      </c>
      <c r="R45" s="9" t="s">
        <v>447</v>
      </c>
      <c r="S45" s="16" t="n">
        <f aca="false">INDEX(Rules!$B$11:$B$15,MATCH("Row unlock: "&amp;B45,Rules!$A$11:$A$15,0))+(D45-1)*Rules!$B$10</f>
        <v>15</v>
      </c>
      <c r="T45" s="16" t="n">
        <f aca="false">S45+(N45-1)*Rules!$B$8</f>
        <v>51</v>
      </c>
      <c r="U45" s="8" t="s">
        <v>377</v>
      </c>
      <c r="V45" s="9" t="s">
        <v>448</v>
      </c>
      <c r="W45" s="8" t="s">
        <v>172</v>
      </c>
      <c r="X45" s="15" t="n">
        <v>41</v>
      </c>
      <c r="Y45" s="15" t="s">
        <v>449</v>
      </c>
    </row>
    <row r="46" customFormat="false" ht="15" hidden="false" customHeight="true" outlineLevel="0" collapsed="false">
      <c r="A46" s="16" t="s">
        <v>120</v>
      </c>
      <c r="B46" s="16" t="s">
        <v>236</v>
      </c>
      <c r="C46" s="8" t="s">
        <v>434</v>
      </c>
      <c r="D46" s="16" t="n">
        <v>3</v>
      </c>
      <c r="E46" s="8" t="s">
        <v>450</v>
      </c>
      <c r="F46" s="9" t="s">
        <v>451</v>
      </c>
      <c r="G46" s="8" t="s">
        <v>217</v>
      </c>
      <c r="H46" s="8"/>
      <c r="I46" s="8"/>
      <c r="J46" s="8"/>
      <c r="K46" s="8" t="n">
        <v>2</v>
      </c>
      <c r="L46" s="8" t="n">
        <v>1</v>
      </c>
      <c r="M46" s="8" t="s">
        <v>85</v>
      </c>
      <c r="N46" s="14" t="n">
        <f aca="false">Rules!$B$5</f>
        <v>10</v>
      </c>
      <c r="O46" s="16" t="n">
        <f aca="false">K46+L46*(N46-1)</f>
        <v>11</v>
      </c>
      <c r="P46" s="16" t="str">
        <f aca="false">IF(H46="","",H46+IF(J46="",0,J46)*(N46-1))</f>
        <v/>
      </c>
      <c r="Q46" s="9" t="s">
        <v>452</v>
      </c>
      <c r="R46" s="9" t="s">
        <v>453</v>
      </c>
      <c r="S46" s="16" t="n">
        <f aca="false">INDEX(Rules!$B$11:$B$15,MATCH("Row unlock: "&amp;B46,Rules!$A$11:$A$15,0))+(D46-1)*Rules!$B$10</f>
        <v>20</v>
      </c>
      <c r="T46" s="16" t="n">
        <f aca="false">S46+(N46-1)*Rules!$B$8</f>
        <v>56</v>
      </c>
      <c r="U46" s="8"/>
      <c r="V46" s="9" t="s">
        <v>234</v>
      </c>
      <c r="W46" s="8" t="s">
        <v>172</v>
      </c>
      <c r="X46" s="15" t="n">
        <v>42</v>
      </c>
      <c r="Y46" s="15" t="s">
        <v>454</v>
      </c>
    </row>
    <row r="47" customFormat="false" ht="15" hidden="false" customHeight="true" outlineLevel="0" collapsed="false">
      <c r="A47" s="16" t="s">
        <v>120</v>
      </c>
      <c r="B47" s="16" t="s">
        <v>257</v>
      </c>
      <c r="C47" s="8" t="s">
        <v>455</v>
      </c>
      <c r="D47" s="16" t="n">
        <v>1</v>
      </c>
      <c r="E47" s="8" t="s">
        <v>456</v>
      </c>
      <c r="F47" s="9" t="s">
        <v>457</v>
      </c>
      <c r="G47" s="8" t="s">
        <v>217</v>
      </c>
      <c r="H47" s="8"/>
      <c r="I47" s="8"/>
      <c r="J47" s="8"/>
      <c r="K47" s="8" t="n">
        <v>3</v>
      </c>
      <c r="L47" s="8" t="n">
        <v>2</v>
      </c>
      <c r="M47" s="8" t="s">
        <v>82</v>
      </c>
      <c r="N47" s="14" t="n">
        <f aca="false">Rules!$B$5</f>
        <v>10</v>
      </c>
      <c r="O47" s="16" t="n">
        <f aca="false">K47+L47*(N47-1)</f>
        <v>21</v>
      </c>
      <c r="P47" s="16" t="str">
        <f aca="false">IF(H47="","",H47+IF(J47="",0,J47)*(N47-1))</f>
        <v/>
      </c>
      <c r="Q47" s="9" t="s">
        <v>458</v>
      </c>
      <c r="R47" s="9" t="s">
        <v>459</v>
      </c>
      <c r="S47" s="16" t="n">
        <f aca="false">INDEX(Rules!$B$11:$B$15,MATCH("Row unlock: "&amp;B47,Rules!$A$11:$A$15,0))+(D47-1)*Rules!$B$10</f>
        <v>30</v>
      </c>
      <c r="T47" s="16" t="n">
        <f aca="false">S47+(N47-1)*Rules!$B$8</f>
        <v>66</v>
      </c>
      <c r="U47" s="8"/>
      <c r="V47" s="9" t="s">
        <v>460</v>
      </c>
      <c r="W47" s="8" t="s">
        <v>172</v>
      </c>
      <c r="X47" s="15" t="n">
        <v>43</v>
      </c>
      <c r="Y47" s="15" t="s">
        <v>461</v>
      </c>
    </row>
    <row r="48" customFormat="false" ht="23.25" hidden="false" customHeight="true" outlineLevel="0" collapsed="false">
      <c r="A48" s="16" t="s">
        <v>120</v>
      </c>
      <c r="B48" s="16" t="s">
        <v>257</v>
      </c>
      <c r="C48" s="8" t="s">
        <v>455</v>
      </c>
      <c r="D48" s="16" t="n">
        <v>2</v>
      </c>
      <c r="E48" s="8" t="s">
        <v>462</v>
      </c>
      <c r="F48" s="9" t="s">
        <v>463</v>
      </c>
      <c r="G48" s="8" t="s">
        <v>217</v>
      </c>
      <c r="H48" s="8"/>
      <c r="I48" s="8"/>
      <c r="J48" s="8"/>
      <c r="K48" s="8" t="n">
        <v>10</v>
      </c>
      <c r="L48" s="8" t="n">
        <v>3</v>
      </c>
      <c r="M48" s="8" t="s">
        <v>79</v>
      </c>
      <c r="N48" s="14" t="n">
        <f aca="false">Rules!$B$5</f>
        <v>10</v>
      </c>
      <c r="O48" s="16" t="n">
        <f aca="false">K48+L48*(N48-1)</f>
        <v>37</v>
      </c>
      <c r="P48" s="16" t="str">
        <f aca="false">IF(H48="","",H48+IF(J48="",0,J48)*(N48-1))</f>
        <v/>
      </c>
      <c r="Q48" s="9" t="s">
        <v>464</v>
      </c>
      <c r="R48" s="9" t="s">
        <v>465</v>
      </c>
      <c r="S48" s="16" t="n">
        <f aca="false">INDEX(Rules!$B$11:$B$15,MATCH("Row unlock: "&amp;B48,Rules!$A$11:$A$15,0))+(D48-1)*Rules!$B$10</f>
        <v>35</v>
      </c>
      <c r="T48" s="16" t="n">
        <f aca="false">S48+(N48-1)*Rules!$B$8</f>
        <v>71</v>
      </c>
      <c r="U48" s="8"/>
      <c r="V48" s="9"/>
      <c r="W48" s="8" t="s">
        <v>243</v>
      </c>
      <c r="X48" s="15" t="n">
        <v>44</v>
      </c>
      <c r="Y48" s="15" t="s">
        <v>466</v>
      </c>
    </row>
    <row r="49" customFormat="false" ht="15" hidden="false" customHeight="true" outlineLevel="0" collapsed="false">
      <c r="A49" s="16" t="s">
        <v>120</v>
      </c>
      <c r="B49" s="16" t="s">
        <v>257</v>
      </c>
      <c r="C49" s="8" t="s">
        <v>455</v>
      </c>
      <c r="D49" s="16" t="n">
        <v>3</v>
      </c>
      <c r="E49" s="8" t="s">
        <v>467</v>
      </c>
      <c r="F49" s="9" t="s">
        <v>468</v>
      </c>
      <c r="G49" s="8" t="s">
        <v>217</v>
      </c>
      <c r="H49" s="8"/>
      <c r="I49" s="8"/>
      <c r="J49" s="8"/>
      <c r="K49" s="8" t="n">
        <v>4</v>
      </c>
      <c r="L49" s="8" t="n">
        <v>2</v>
      </c>
      <c r="M49" s="8" t="s">
        <v>469</v>
      </c>
      <c r="N49" s="14" t="n">
        <f aca="false">Rules!$B$5</f>
        <v>10</v>
      </c>
      <c r="O49" s="16" t="n">
        <f aca="false">K49+L49*(N49-1)</f>
        <v>22</v>
      </c>
      <c r="P49" s="16" t="str">
        <f aca="false">IF(H49="","",H49+IF(J49="",0,J49)*(N49-1))</f>
        <v/>
      </c>
      <c r="Q49" s="9" t="s">
        <v>470</v>
      </c>
      <c r="R49" s="9" t="s">
        <v>369</v>
      </c>
      <c r="S49" s="16" t="n">
        <f aca="false">INDEX(Rules!$B$11:$B$15,MATCH("Row unlock: "&amp;B49,Rules!$A$11:$A$15,0))+(D49-1)*Rules!$B$10</f>
        <v>40</v>
      </c>
      <c r="T49" s="16" t="n">
        <f aca="false">S49+(N49-1)*Rules!$B$8</f>
        <v>76</v>
      </c>
      <c r="U49" s="8"/>
      <c r="V49" s="9" t="s">
        <v>471</v>
      </c>
      <c r="W49" s="8" t="s">
        <v>243</v>
      </c>
      <c r="X49" s="15" t="n">
        <v>45</v>
      </c>
      <c r="Y49" s="15" t="s">
        <v>472</v>
      </c>
    </row>
    <row r="50" customFormat="false" ht="23.25" hidden="false" customHeight="true" outlineLevel="0" collapsed="false">
      <c r="A50" s="10" t="s">
        <v>128</v>
      </c>
      <c r="B50" s="10" t="s">
        <v>162</v>
      </c>
      <c r="C50" s="8" t="s">
        <v>473</v>
      </c>
      <c r="D50" s="10" t="n">
        <v>1</v>
      </c>
      <c r="E50" s="8" t="s">
        <v>474</v>
      </c>
      <c r="F50" s="9" t="s">
        <v>475</v>
      </c>
      <c r="G50" s="8" t="s">
        <v>166</v>
      </c>
      <c r="H50" s="8" t="n">
        <v>20</v>
      </c>
      <c r="I50" s="8" t="s">
        <v>63</v>
      </c>
      <c r="J50" s="8" t="n">
        <v>-0.5</v>
      </c>
      <c r="K50" s="8" t="n">
        <v>8</v>
      </c>
      <c r="L50" s="8" t="n">
        <v>1.2</v>
      </c>
      <c r="M50" s="8" t="s">
        <v>218</v>
      </c>
      <c r="N50" s="14" t="n">
        <f aca="false">Rules!$B$5</f>
        <v>10</v>
      </c>
      <c r="O50" s="10" t="n">
        <f aca="false">K50+L50*(N50-1)</f>
        <v>18.8</v>
      </c>
      <c r="P50" s="10" t="n">
        <f aca="false">IF(H50="","",H50+IF(J50="",0,J50)*(N50-1))</f>
        <v>15.5</v>
      </c>
      <c r="Q50" s="9" t="s">
        <v>476</v>
      </c>
      <c r="R50" s="9" t="s">
        <v>477</v>
      </c>
      <c r="S50" s="10" t="n">
        <f aca="false">INDEX(Rules!$B$11:$B$15,MATCH("Row unlock: "&amp;B50,Rules!$A$11:$A$15,0))+(D50-1)*Rules!$B$10</f>
        <v>1</v>
      </c>
      <c r="T50" s="10" t="n">
        <f aca="false">S50+(N50-1)*Rules!$B$8</f>
        <v>37</v>
      </c>
      <c r="U50" s="8" t="s">
        <v>170</v>
      </c>
      <c r="V50" s="9" t="s">
        <v>478</v>
      </c>
      <c r="W50" s="8" t="s">
        <v>172</v>
      </c>
      <c r="X50" s="15" t="n">
        <v>46</v>
      </c>
      <c r="Y50" s="15" t="s">
        <v>479</v>
      </c>
    </row>
    <row r="51" customFormat="false" ht="15" hidden="false" customHeight="true" outlineLevel="0" collapsed="false">
      <c r="A51" s="10" t="s">
        <v>128</v>
      </c>
      <c r="B51" s="10" t="s">
        <v>162</v>
      </c>
      <c r="C51" s="8" t="s">
        <v>473</v>
      </c>
      <c r="D51" s="10" t="n">
        <v>2</v>
      </c>
      <c r="E51" s="8" t="s">
        <v>480</v>
      </c>
      <c r="F51" s="9" t="s">
        <v>481</v>
      </c>
      <c r="G51" s="8" t="s">
        <v>285</v>
      </c>
      <c r="H51" s="8" t="n">
        <v>20</v>
      </c>
      <c r="I51" s="8" t="s">
        <v>402</v>
      </c>
      <c r="J51" s="8" t="n">
        <v>-0.5</v>
      </c>
      <c r="K51" s="8" t="n">
        <v>1</v>
      </c>
      <c r="L51" s="8" t="n">
        <v>0.2</v>
      </c>
      <c r="M51" s="8" t="s">
        <v>482</v>
      </c>
      <c r="N51" s="14" t="n">
        <f aca="false">Rules!$B$5</f>
        <v>10</v>
      </c>
      <c r="O51" s="10" t="n">
        <f aca="false">K51+L51*(N51-1)</f>
        <v>2.8</v>
      </c>
      <c r="P51" s="10" t="n">
        <f aca="false">IF(H51="","",H51+IF(J51="",0,J51)*(N51-1))</f>
        <v>15.5</v>
      </c>
      <c r="Q51" s="9" t="s">
        <v>483</v>
      </c>
      <c r="R51" s="9" t="s">
        <v>484</v>
      </c>
      <c r="S51" s="10" t="n">
        <f aca="false">INDEX(Rules!$B$11:$B$15,MATCH("Row unlock: "&amp;B51,Rules!$A$11:$A$15,0))+(D51-1)*Rules!$B$10</f>
        <v>6</v>
      </c>
      <c r="T51" s="10" t="n">
        <f aca="false">S51+(N51-1)*Rules!$B$8</f>
        <v>42</v>
      </c>
      <c r="U51" s="8" t="s">
        <v>170</v>
      </c>
      <c r="V51" s="9" t="s">
        <v>485</v>
      </c>
      <c r="W51" s="8" t="s">
        <v>243</v>
      </c>
      <c r="X51" s="15" t="n">
        <v>47</v>
      </c>
      <c r="Y51" s="15" t="s">
        <v>486</v>
      </c>
    </row>
    <row r="52" customFormat="false" ht="15" hidden="false" customHeight="true" outlineLevel="0" collapsed="false">
      <c r="A52" s="10" t="s">
        <v>128</v>
      </c>
      <c r="B52" s="10" t="s">
        <v>162</v>
      </c>
      <c r="C52" s="8" t="s">
        <v>473</v>
      </c>
      <c r="D52" s="10" t="n">
        <v>3</v>
      </c>
      <c r="E52" s="8" t="s">
        <v>487</v>
      </c>
      <c r="F52" s="9" t="s">
        <v>488</v>
      </c>
      <c r="G52" s="8" t="s">
        <v>166</v>
      </c>
      <c r="H52" s="8" t="n">
        <v>35</v>
      </c>
      <c r="I52" s="8" t="s">
        <v>63</v>
      </c>
      <c r="J52" s="8" t="n">
        <v>-0.8</v>
      </c>
      <c r="K52" s="8" t="n">
        <v>8</v>
      </c>
      <c r="L52" s="8" t="n">
        <v>1.5</v>
      </c>
      <c r="M52" s="8" t="s">
        <v>79</v>
      </c>
      <c r="N52" s="14" t="n">
        <f aca="false">Rules!$B$5</f>
        <v>10</v>
      </c>
      <c r="O52" s="10" t="n">
        <f aca="false">K52+L52*(N52-1)</f>
        <v>21.5</v>
      </c>
      <c r="P52" s="10" t="n">
        <f aca="false">IF(H52="","",H52+IF(J52="",0,J52)*(N52-1))</f>
        <v>27.8</v>
      </c>
      <c r="Q52" s="9" t="s">
        <v>489</v>
      </c>
      <c r="R52" s="9" t="s">
        <v>490</v>
      </c>
      <c r="S52" s="10" t="n">
        <f aca="false">INDEX(Rules!$B$11:$B$15,MATCH("Row unlock: "&amp;B52,Rules!$A$11:$A$15,0))+(D52-1)*Rules!$B$10</f>
        <v>11</v>
      </c>
      <c r="T52" s="10" t="n">
        <f aca="false">S52+(N52-1)*Rules!$B$8</f>
        <v>47</v>
      </c>
      <c r="U52" s="8" t="s">
        <v>170</v>
      </c>
      <c r="V52" s="9" t="s">
        <v>491</v>
      </c>
      <c r="W52" s="8" t="s">
        <v>243</v>
      </c>
      <c r="X52" s="15" t="n">
        <v>48</v>
      </c>
      <c r="Y52" s="15" t="s">
        <v>492</v>
      </c>
    </row>
    <row r="53" customFormat="false" ht="15" hidden="false" customHeight="true" outlineLevel="0" collapsed="false">
      <c r="A53" s="10" t="s">
        <v>128</v>
      </c>
      <c r="B53" s="10" t="s">
        <v>192</v>
      </c>
      <c r="C53" s="8" t="s">
        <v>493</v>
      </c>
      <c r="D53" s="10" t="n">
        <v>1</v>
      </c>
      <c r="E53" s="8" t="s">
        <v>494</v>
      </c>
      <c r="F53" s="9" t="s">
        <v>495</v>
      </c>
      <c r="G53" s="8" t="s">
        <v>176</v>
      </c>
      <c r="H53" s="8" t="n">
        <v>12</v>
      </c>
      <c r="I53" s="8" t="s">
        <v>177</v>
      </c>
      <c r="J53" s="8" t="n">
        <v>-0.5</v>
      </c>
      <c r="K53" s="8" t="n">
        <v>8</v>
      </c>
      <c r="L53" s="8" t="n">
        <v>1.5</v>
      </c>
      <c r="M53" s="8" t="s">
        <v>79</v>
      </c>
      <c r="N53" s="14" t="n">
        <f aca="false">Rules!$B$5</f>
        <v>10</v>
      </c>
      <c r="O53" s="10" t="n">
        <f aca="false">K53+L53*(N53-1)</f>
        <v>21.5</v>
      </c>
      <c r="P53" s="10" t="n">
        <f aca="false">IF(H53="","",H53+IF(J53="",0,J53)*(N53-1))</f>
        <v>7.5</v>
      </c>
      <c r="Q53" s="9" t="s">
        <v>496</v>
      </c>
      <c r="R53" s="9" t="s">
        <v>497</v>
      </c>
      <c r="S53" s="10" t="n">
        <f aca="false">INDEX(Rules!$B$11:$B$15,MATCH("Row unlock: "&amp;B53,Rules!$A$11:$A$15,0))+(D53-1)*Rules!$B$10</f>
        <v>20</v>
      </c>
      <c r="T53" s="10" t="n">
        <f aca="false">S53+(N53-1)*Rules!$B$8</f>
        <v>56</v>
      </c>
      <c r="U53" s="8" t="s">
        <v>180</v>
      </c>
      <c r="V53" s="9" t="s">
        <v>498</v>
      </c>
      <c r="W53" s="8" t="s">
        <v>172</v>
      </c>
      <c r="X53" s="15" t="n">
        <v>49</v>
      </c>
      <c r="Y53" s="15" t="s">
        <v>499</v>
      </c>
    </row>
    <row r="54" customFormat="false" ht="15" hidden="false" customHeight="true" outlineLevel="0" collapsed="false">
      <c r="A54" s="10" t="s">
        <v>128</v>
      </c>
      <c r="B54" s="10" t="s">
        <v>192</v>
      </c>
      <c r="C54" s="8" t="s">
        <v>493</v>
      </c>
      <c r="D54" s="10" t="n">
        <v>2</v>
      </c>
      <c r="E54" s="8" t="s">
        <v>500</v>
      </c>
      <c r="F54" s="9" t="s">
        <v>501</v>
      </c>
      <c r="G54" s="8" t="s">
        <v>166</v>
      </c>
      <c r="H54" s="8" t="n">
        <v>15</v>
      </c>
      <c r="I54" s="8" t="s">
        <v>63</v>
      </c>
      <c r="J54" s="8" t="n">
        <v>-0.4</v>
      </c>
      <c r="K54" s="8" t="n">
        <v>20</v>
      </c>
      <c r="L54" s="8" t="n">
        <v>3</v>
      </c>
      <c r="M54" s="8" t="s">
        <v>502</v>
      </c>
      <c r="N54" s="14" t="n">
        <f aca="false">Rules!$B$5</f>
        <v>10</v>
      </c>
      <c r="O54" s="10" t="n">
        <f aca="false">K54+L54*(N54-1)</f>
        <v>47</v>
      </c>
      <c r="P54" s="10" t="n">
        <f aca="false">IF(H54="","",H54+IF(J54="",0,J54)*(N54-1))</f>
        <v>11.4</v>
      </c>
      <c r="Q54" s="9" t="s">
        <v>396</v>
      </c>
      <c r="R54" s="9" t="s">
        <v>503</v>
      </c>
      <c r="S54" s="10" t="n">
        <f aca="false">INDEX(Rules!$B$11:$B$15,MATCH("Row unlock: "&amp;B54,Rules!$A$11:$A$15,0))+(D54-1)*Rules!$B$10</f>
        <v>25</v>
      </c>
      <c r="T54" s="10" t="n">
        <f aca="false">S54+(N54-1)*Rules!$B$8</f>
        <v>61</v>
      </c>
      <c r="U54" s="8" t="s">
        <v>180</v>
      </c>
      <c r="V54" s="9" t="s">
        <v>504</v>
      </c>
      <c r="W54" s="8" t="s">
        <v>172</v>
      </c>
      <c r="X54" s="15" t="n">
        <v>50</v>
      </c>
      <c r="Y54" s="15" t="s">
        <v>505</v>
      </c>
    </row>
    <row r="55" customFormat="false" ht="15" hidden="false" customHeight="true" outlineLevel="0" collapsed="false">
      <c r="A55" s="10" t="s">
        <v>128</v>
      </c>
      <c r="B55" s="10" t="s">
        <v>192</v>
      </c>
      <c r="C55" s="8" t="s">
        <v>493</v>
      </c>
      <c r="D55" s="10" t="n">
        <v>3</v>
      </c>
      <c r="E55" s="8" t="s">
        <v>506</v>
      </c>
      <c r="F55" s="9" t="s">
        <v>507</v>
      </c>
      <c r="G55" s="8" t="s">
        <v>185</v>
      </c>
      <c r="H55" s="8" t="n">
        <v>3</v>
      </c>
      <c r="I55" s="8" t="s">
        <v>186</v>
      </c>
      <c r="J55" s="8" t="n">
        <v>-0.1</v>
      </c>
      <c r="K55" s="8" t="n">
        <v>15</v>
      </c>
      <c r="L55" s="8" t="n">
        <v>3</v>
      </c>
      <c r="M55" s="8" t="s">
        <v>343</v>
      </c>
      <c r="N55" s="14" t="n">
        <f aca="false">Rules!$B$5</f>
        <v>10</v>
      </c>
      <c r="O55" s="10" t="n">
        <f aca="false">K55+L55*(N55-1)</f>
        <v>42</v>
      </c>
      <c r="P55" s="10" t="n">
        <f aca="false">IF(H55="","",H55+IF(J55="",0,J55)*(N55-1))</f>
        <v>2.1</v>
      </c>
      <c r="Q55" s="9" t="s">
        <v>508</v>
      </c>
      <c r="R55" s="9" t="s">
        <v>509</v>
      </c>
      <c r="S55" s="10" t="n">
        <f aca="false">INDEX(Rules!$B$11:$B$15,MATCH("Row unlock: "&amp;B55,Rules!$A$11:$A$15,0))+(D55-1)*Rules!$B$10</f>
        <v>30</v>
      </c>
      <c r="T55" s="10" t="n">
        <f aca="false">S55+(N55-1)*Rules!$B$8</f>
        <v>66</v>
      </c>
      <c r="U55" s="8" t="s">
        <v>180</v>
      </c>
      <c r="V55" s="9" t="s">
        <v>510</v>
      </c>
      <c r="W55" s="8" t="s">
        <v>243</v>
      </c>
      <c r="X55" s="15" t="n">
        <v>51</v>
      </c>
      <c r="Y55" s="15" t="s">
        <v>511</v>
      </c>
    </row>
    <row r="56" customFormat="false" ht="15" hidden="false" customHeight="true" outlineLevel="0" collapsed="false">
      <c r="A56" s="10" t="s">
        <v>128</v>
      </c>
      <c r="B56" s="10" t="s">
        <v>213</v>
      </c>
      <c r="C56" s="8" t="s">
        <v>512</v>
      </c>
      <c r="D56" s="10" t="n">
        <v>1</v>
      </c>
      <c r="E56" s="8" t="s">
        <v>513</v>
      </c>
      <c r="F56" s="9" t="s">
        <v>514</v>
      </c>
      <c r="G56" s="8" t="s">
        <v>217</v>
      </c>
      <c r="H56" s="8"/>
      <c r="I56" s="8"/>
      <c r="J56" s="8"/>
      <c r="K56" s="8" t="n">
        <v>3</v>
      </c>
      <c r="L56" s="8" t="n">
        <v>1.5</v>
      </c>
      <c r="M56" s="8" t="s">
        <v>515</v>
      </c>
      <c r="N56" s="14" t="n">
        <f aca="false">Rules!$B$5</f>
        <v>10</v>
      </c>
      <c r="O56" s="10" t="n">
        <f aca="false">K56+L56*(N56-1)</f>
        <v>16.5</v>
      </c>
      <c r="P56" s="10" t="str">
        <f aca="false">IF(H56="","",H56+IF(J56="",0,J56)*(N56-1))</f>
        <v/>
      </c>
      <c r="Q56" s="9" t="s">
        <v>516</v>
      </c>
      <c r="R56" s="9" t="s">
        <v>517</v>
      </c>
      <c r="S56" s="10" t="n">
        <f aca="false">INDEX(Rules!$B$11:$B$15,MATCH("Row unlock: "&amp;B56,Rules!$A$11:$A$15,0))+(D56-1)*Rules!$B$10</f>
        <v>1</v>
      </c>
      <c r="T56" s="10" t="n">
        <f aca="false">S56+(N56-1)*Rules!$B$8</f>
        <v>37</v>
      </c>
      <c r="U56" s="8"/>
      <c r="V56" s="9"/>
      <c r="W56" s="8" t="s">
        <v>243</v>
      </c>
      <c r="X56" s="15" t="n">
        <v>52</v>
      </c>
      <c r="Y56" s="15" t="s">
        <v>518</v>
      </c>
    </row>
    <row r="57" customFormat="false" ht="15" hidden="false" customHeight="true" outlineLevel="0" collapsed="false">
      <c r="A57" s="10" t="s">
        <v>128</v>
      </c>
      <c r="B57" s="10" t="s">
        <v>213</v>
      </c>
      <c r="C57" s="8" t="s">
        <v>512</v>
      </c>
      <c r="D57" s="10" t="n">
        <v>2</v>
      </c>
      <c r="E57" s="8" t="s">
        <v>519</v>
      </c>
      <c r="F57" s="9" t="s">
        <v>520</v>
      </c>
      <c r="G57" s="8" t="s">
        <v>217</v>
      </c>
      <c r="H57" s="8"/>
      <c r="I57" s="8"/>
      <c r="J57" s="8"/>
      <c r="K57" s="8" t="n">
        <v>1</v>
      </c>
      <c r="L57" s="8" t="n">
        <v>0.4</v>
      </c>
      <c r="M57" s="8" t="s">
        <v>218</v>
      </c>
      <c r="N57" s="14" t="n">
        <f aca="false">Rules!$B$5</f>
        <v>10</v>
      </c>
      <c r="O57" s="10" t="n">
        <f aca="false">K57+L57*(N57-1)</f>
        <v>4.6</v>
      </c>
      <c r="P57" s="10" t="str">
        <f aca="false">IF(H57="","",H57+IF(J57="",0,J57)*(N57-1))</f>
        <v/>
      </c>
      <c r="Q57" s="9" t="s">
        <v>521</v>
      </c>
      <c r="R57" s="9" t="s">
        <v>489</v>
      </c>
      <c r="S57" s="10" t="n">
        <f aca="false">INDEX(Rules!$B$11:$B$15,MATCH("Row unlock: "&amp;B57,Rules!$A$11:$A$15,0))+(D57-1)*Rules!$B$10</f>
        <v>6</v>
      </c>
      <c r="T57" s="10" t="n">
        <f aca="false">S57+(N57-1)*Rules!$B$8</f>
        <v>42</v>
      </c>
      <c r="U57" s="8"/>
      <c r="V57" s="9" t="s">
        <v>234</v>
      </c>
      <c r="W57" s="8" t="s">
        <v>172</v>
      </c>
      <c r="X57" s="15" t="n">
        <v>53</v>
      </c>
      <c r="Y57" s="15" t="s">
        <v>522</v>
      </c>
    </row>
    <row r="58" customFormat="false" ht="15" hidden="false" customHeight="true" outlineLevel="0" collapsed="false">
      <c r="A58" s="10" t="s">
        <v>128</v>
      </c>
      <c r="B58" s="10" t="s">
        <v>213</v>
      </c>
      <c r="C58" s="8" t="s">
        <v>512</v>
      </c>
      <c r="D58" s="10" t="n">
        <v>3</v>
      </c>
      <c r="E58" s="8" t="s">
        <v>523</v>
      </c>
      <c r="F58" s="9" t="s">
        <v>524</v>
      </c>
      <c r="G58" s="8" t="s">
        <v>217</v>
      </c>
      <c r="H58" s="8"/>
      <c r="I58" s="8"/>
      <c r="J58" s="8"/>
      <c r="K58" s="8" t="n">
        <v>1</v>
      </c>
      <c r="L58" s="8" t="n">
        <v>0.6</v>
      </c>
      <c r="M58" s="8" t="s">
        <v>307</v>
      </c>
      <c r="N58" s="14" t="n">
        <f aca="false">Rules!$B$5</f>
        <v>10</v>
      </c>
      <c r="O58" s="10" t="n">
        <f aca="false">K58+L58*(N58-1)</f>
        <v>6.4</v>
      </c>
      <c r="P58" s="10" t="str">
        <f aca="false">IF(H58="","",H58+IF(J58="",0,J58)*(N58-1))</f>
        <v/>
      </c>
      <c r="Q58" s="9" t="s">
        <v>525</v>
      </c>
      <c r="R58" s="9" t="s">
        <v>489</v>
      </c>
      <c r="S58" s="10" t="n">
        <f aca="false">INDEX(Rules!$B$11:$B$15,MATCH("Row unlock: "&amp;B58,Rules!$A$11:$A$15,0))+(D58-1)*Rules!$B$10</f>
        <v>11</v>
      </c>
      <c r="T58" s="10" t="n">
        <f aca="false">S58+(N58-1)*Rules!$B$8</f>
        <v>47</v>
      </c>
      <c r="U58" s="8"/>
      <c r="V58" s="9"/>
      <c r="W58" s="8" t="s">
        <v>243</v>
      </c>
      <c r="X58" s="15" t="n">
        <v>54</v>
      </c>
      <c r="Y58" s="15" t="s">
        <v>526</v>
      </c>
    </row>
    <row r="59" customFormat="false" ht="15" hidden="false" customHeight="true" outlineLevel="0" collapsed="false">
      <c r="A59" s="10" t="s">
        <v>128</v>
      </c>
      <c r="B59" s="10" t="s">
        <v>236</v>
      </c>
      <c r="C59" s="8" t="s">
        <v>527</v>
      </c>
      <c r="D59" s="10" t="n">
        <v>1</v>
      </c>
      <c r="E59" s="8" t="s">
        <v>528</v>
      </c>
      <c r="F59" s="9" t="s">
        <v>529</v>
      </c>
      <c r="G59" s="8" t="s">
        <v>217</v>
      </c>
      <c r="H59" s="8"/>
      <c r="I59" s="8"/>
      <c r="J59" s="8"/>
      <c r="K59" s="8" t="n">
        <v>3</v>
      </c>
      <c r="L59" s="8" t="n">
        <v>0.8</v>
      </c>
      <c r="M59" s="8" t="s">
        <v>202</v>
      </c>
      <c r="N59" s="14" t="n">
        <f aca="false">Rules!$B$5</f>
        <v>10</v>
      </c>
      <c r="O59" s="10" t="n">
        <f aca="false">K59+L59*(N59-1)</f>
        <v>10.2</v>
      </c>
      <c r="P59" s="10" t="str">
        <f aca="false">IF(H59="","",H59+IF(J59="",0,J59)*(N59-1))</f>
        <v/>
      </c>
      <c r="Q59" s="9" t="s">
        <v>530</v>
      </c>
      <c r="R59" s="9" t="s">
        <v>369</v>
      </c>
      <c r="S59" s="10" t="n">
        <f aca="false">INDEX(Rules!$B$11:$B$15,MATCH("Row unlock: "&amp;B59,Rules!$A$11:$A$15,0))+(D59-1)*Rules!$B$10</f>
        <v>10</v>
      </c>
      <c r="T59" s="10" t="n">
        <f aca="false">S59+(N59-1)*Rules!$B$8</f>
        <v>46</v>
      </c>
      <c r="U59" s="8"/>
      <c r="V59" s="9" t="s">
        <v>531</v>
      </c>
      <c r="W59" s="8" t="s">
        <v>243</v>
      </c>
      <c r="X59" s="15" t="n">
        <v>55</v>
      </c>
      <c r="Y59" s="15" t="s">
        <v>532</v>
      </c>
    </row>
    <row r="60" customFormat="false" ht="15" hidden="false" customHeight="true" outlineLevel="0" collapsed="false">
      <c r="A60" s="10" t="s">
        <v>128</v>
      </c>
      <c r="B60" s="10" t="s">
        <v>236</v>
      </c>
      <c r="C60" s="8" t="s">
        <v>527</v>
      </c>
      <c r="D60" s="10" t="n">
        <v>2</v>
      </c>
      <c r="E60" s="8" t="s">
        <v>533</v>
      </c>
      <c r="F60" s="9" t="s">
        <v>534</v>
      </c>
      <c r="G60" s="8" t="s">
        <v>217</v>
      </c>
      <c r="H60" s="8"/>
      <c r="I60" s="8"/>
      <c r="J60" s="8"/>
      <c r="K60" s="8" t="n">
        <v>4</v>
      </c>
      <c r="L60" s="8" t="n">
        <v>1.5</v>
      </c>
      <c r="M60" s="8" t="s">
        <v>202</v>
      </c>
      <c r="N60" s="14" t="n">
        <f aca="false">Rules!$B$5</f>
        <v>10</v>
      </c>
      <c r="O60" s="10" t="n">
        <f aca="false">K60+L60*(N60-1)</f>
        <v>17.5</v>
      </c>
      <c r="P60" s="10" t="str">
        <f aca="false">IF(H60="","",H60+IF(J60="",0,J60)*(N60-1))</f>
        <v/>
      </c>
      <c r="Q60" s="9" t="s">
        <v>535</v>
      </c>
      <c r="R60" s="9" t="s">
        <v>536</v>
      </c>
      <c r="S60" s="10" t="n">
        <f aca="false">INDEX(Rules!$B$11:$B$15,MATCH("Row unlock: "&amp;B60,Rules!$A$11:$A$15,0))+(D60-1)*Rules!$B$10</f>
        <v>15</v>
      </c>
      <c r="T60" s="10" t="n">
        <f aca="false">S60+(N60-1)*Rules!$B$8</f>
        <v>51</v>
      </c>
      <c r="U60" s="8"/>
      <c r="V60" s="9" t="s">
        <v>255</v>
      </c>
      <c r="W60" s="8" t="s">
        <v>172</v>
      </c>
      <c r="X60" s="15" t="n">
        <v>56</v>
      </c>
      <c r="Y60" s="15" t="s">
        <v>537</v>
      </c>
    </row>
    <row r="61" customFormat="false" ht="23.25" hidden="false" customHeight="true" outlineLevel="0" collapsed="false">
      <c r="A61" s="10" t="s">
        <v>128</v>
      </c>
      <c r="B61" s="10" t="s">
        <v>236</v>
      </c>
      <c r="C61" s="8" t="s">
        <v>527</v>
      </c>
      <c r="D61" s="10" t="n">
        <v>3</v>
      </c>
      <c r="E61" s="8" t="s">
        <v>538</v>
      </c>
      <c r="F61" s="9" t="s">
        <v>539</v>
      </c>
      <c r="G61" s="8" t="s">
        <v>217</v>
      </c>
      <c r="H61" s="8"/>
      <c r="I61" s="8"/>
      <c r="J61" s="8"/>
      <c r="K61" s="8" t="n">
        <v>3</v>
      </c>
      <c r="L61" s="8" t="n">
        <v>1.5</v>
      </c>
      <c r="M61" s="8" t="s">
        <v>343</v>
      </c>
      <c r="N61" s="14" t="n">
        <f aca="false">Rules!$B$5</f>
        <v>10</v>
      </c>
      <c r="O61" s="10" t="n">
        <f aca="false">K61+L61*(N61-1)</f>
        <v>16.5</v>
      </c>
      <c r="P61" s="10" t="str">
        <f aca="false">IF(H61="","",H61+IF(J61="",0,J61)*(N61-1))</f>
        <v/>
      </c>
      <c r="Q61" s="9" t="s">
        <v>540</v>
      </c>
      <c r="R61" s="9" t="s">
        <v>541</v>
      </c>
      <c r="S61" s="10" t="n">
        <f aca="false">INDEX(Rules!$B$11:$B$15,MATCH("Row unlock: "&amp;B61,Rules!$A$11:$A$15,0))+(D61-1)*Rules!$B$10</f>
        <v>20</v>
      </c>
      <c r="T61" s="10" t="n">
        <f aca="false">S61+(N61-1)*Rules!$B$8</f>
        <v>56</v>
      </c>
      <c r="U61" s="8"/>
      <c r="V61" s="9" t="s">
        <v>542</v>
      </c>
      <c r="W61" s="8" t="s">
        <v>172</v>
      </c>
      <c r="X61" s="15" t="n">
        <v>57</v>
      </c>
      <c r="Y61" s="15" t="s">
        <v>543</v>
      </c>
    </row>
    <row r="62" customFormat="false" ht="23.25" hidden="false" customHeight="true" outlineLevel="0" collapsed="false">
      <c r="A62" s="10" t="s">
        <v>128</v>
      </c>
      <c r="B62" s="10" t="s">
        <v>257</v>
      </c>
      <c r="C62" s="8" t="s">
        <v>544</v>
      </c>
      <c r="D62" s="10" t="n">
        <v>1</v>
      </c>
      <c r="E62" s="8" t="s">
        <v>545</v>
      </c>
      <c r="F62" s="9" t="s">
        <v>546</v>
      </c>
      <c r="G62" s="8" t="s">
        <v>176</v>
      </c>
      <c r="H62" s="8" t="n">
        <v>10</v>
      </c>
      <c r="I62" s="8" t="s">
        <v>177</v>
      </c>
      <c r="J62" s="8" t="n">
        <v>0</v>
      </c>
      <c r="K62" s="8" t="n">
        <v>80</v>
      </c>
      <c r="L62" s="8" t="n">
        <v>12</v>
      </c>
      <c r="M62" s="8" t="s">
        <v>79</v>
      </c>
      <c r="N62" s="14" t="n">
        <f aca="false">Rules!$B$5</f>
        <v>10</v>
      </c>
      <c r="O62" s="10" t="n">
        <f aca="false">K62+L62*(N62-1)</f>
        <v>188</v>
      </c>
      <c r="P62" s="10" t="n">
        <f aca="false">IF(H62="","",H62+IF(J62="",0,J62)*(N62-1))</f>
        <v>10</v>
      </c>
      <c r="Q62" s="9" t="s">
        <v>547</v>
      </c>
      <c r="R62" s="9" t="s">
        <v>548</v>
      </c>
      <c r="S62" s="10" t="n">
        <f aca="false">INDEX(Rules!$B$11:$B$15,MATCH("Row unlock: "&amp;B62,Rules!$A$11:$A$15,0))+(D62-1)*Rules!$B$10</f>
        <v>30</v>
      </c>
      <c r="T62" s="10" t="n">
        <f aca="false">S62+(N62-1)*Rules!$B$8</f>
        <v>66</v>
      </c>
      <c r="U62" s="8" t="s">
        <v>170</v>
      </c>
      <c r="V62" s="9" t="s">
        <v>227</v>
      </c>
      <c r="W62" s="8" t="s">
        <v>172</v>
      </c>
      <c r="X62" s="15" t="n">
        <v>58</v>
      </c>
      <c r="Y62" s="15" t="s">
        <v>549</v>
      </c>
    </row>
    <row r="63" customFormat="false" ht="15" hidden="false" customHeight="true" outlineLevel="0" collapsed="false">
      <c r="A63" s="10" t="s">
        <v>128</v>
      </c>
      <c r="B63" s="10" t="s">
        <v>257</v>
      </c>
      <c r="C63" s="8" t="s">
        <v>544</v>
      </c>
      <c r="D63" s="10" t="n">
        <v>2</v>
      </c>
      <c r="E63" s="8" t="s">
        <v>550</v>
      </c>
      <c r="F63" s="9" t="s">
        <v>551</v>
      </c>
      <c r="G63" s="8" t="s">
        <v>217</v>
      </c>
      <c r="H63" s="8"/>
      <c r="I63" s="8"/>
      <c r="J63" s="8"/>
      <c r="K63" s="8" t="n">
        <v>3</v>
      </c>
      <c r="L63" s="8" t="n">
        <v>1</v>
      </c>
      <c r="M63" s="8" t="s">
        <v>82</v>
      </c>
      <c r="N63" s="14" t="n">
        <f aca="false">Rules!$B$5</f>
        <v>10</v>
      </c>
      <c r="O63" s="10" t="n">
        <f aca="false">K63+L63*(N63-1)</f>
        <v>12</v>
      </c>
      <c r="P63" s="10" t="str">
        <f aca="false">IF(H63="","",H63+IF(J63="",0,J63)*(N63-1))</f>
        <v/>
      </c>
      <c r="Q63" s="9" t="s">
        <v>552</v>
      </c>
      <c r="R63" s="9" t="s">
        <v>553</v>
      </c>
      <c r="S63" s="10" t="n">
        <f aca="false">INDEX(Rules!$B$11:$B$15,MATCH("Row unlock: "&amp;B63,Rules!$A$11:$A$15,0))+(D63-1)*Rules!$B$10</f>
        <v>35</v>
      </c>
      <c r="T63" s="10" t="n">
        <f aca="false">S63+(N63-1)*Rules!$B$8</f>
        <v>71</v>
      </c>
      <c r="U63" s="8"/>
      <c r="V63" s="9" t="s">
        <v>554</v>
      </c>
      <c r="W63" s="8" t="s">
        <v>243</v>
      </c>
      <c r="X63" s="15" t="n">
        <v>59</v>
      </c>
      <c r="Y63" s="15" t="s">
        <v>555</v>
      </c>
    </row>
    <row r="64" customFormat="false" ht="23.25" hidden="false" customHeight="true" outlineLevel="0" collapsed="false">
      <c r="A64" s="10" t="s">
        <v>128</v>
      </c>
      <c r="B64" s="10" t="s">
        <v>257</v>
      </c>
      <c r="C64" s="8" t="s">
        <v>544</v>
      </c>
      <c r="D64" s="10" t="n">
        <v>3</v>
      </c>
      <c r="E64" s="8" t="s">
        <v>556</v>
      </c>
      <c r="F64" s="9" t="s">
        <v>557</v>
      </c>
      <c r="G64" s="8" t="s">
        <v>217</v>
      </c>
      <c r="H64" s="8"/>
      <c r="I64" s="8"/>
      <c r="J64" s="8"/>
      <c r="K64" s="8" t="n">
        <v>5</v>
      </c>
      <c r="L64" s="8" t="n">
        <v>1.5</v>
      </c>
      <c r="M64" s="8" t="s">
        <v>558</v>
      </c>
      <c r="N64" s="14" t="n">
        <f aca="false">Rules!$B$5</f>
        <v>10</v>
      </c>
      <c r="O64" s="10" t="n">
        <f aca="false">K64+L64*(N64-1)</f>
        <v>18.5</v>
      </c>
      <c r="P64" s="10" t="str">
        <f aca="false">IF(H64="","",H64+IF(J64="",0,J64)*(N64-1))</f>
        <v/>
      </c>
      <c r="Q64" s="9" t="s">
        <v>559</v>
      </c>
      <c r="R64" s="9" t="s">
        <v>560</v>
      </c>
      <c r="S64" s="10" t="n">
        <f aca="false">INDEX(Rules!$B$11:$B$15,MATCH("Row unlock: "&amp;B64,Rules!$A$11:$A$15,0))+(D64-1)*Rules!$B$10</f>
        <v>40</v>
      </c>
      <c r="T64" s="10" t="n">
        <f aca="false">S64+(N64-1)*Rules!$B$8</f>
        <v>76</v>
      </c>
      <c r="U64" s="8"/>
      <c r="V64" s="9" t="s">
        <v>561</v>
      </c>
      <c r="W64" s="8" t="s">
        <v>190</v>
      </c>
      <c r="X64" s="15" t="n">
        <v>60</v>
      </c>
      <c r="Y64" s="15" t="s">
        <v>562</v>
      </c>
    </row>
  </sheetData>
  <autoFilter ref="A4:Y64"/>
  <dataValidations count="2">
    <dataValidation allowBlank="true" errorStyle="stop" operator="between" showDropDown="false" showErrorMessage="false" showInputMessage="false" sqref="G5:G104" type="list">
      <formula1>"Timer,Attacks,Hits taken,Kills,Owner casts,Spells,Passive"</formula1>
      <formula2>0</formula2>
    </dataValidation>
    <dataValidation allowBlank="true" errorStyle="stop" operator="between" showDropDown="false" showErrorMessage="false" showInputMessage="false" sqref="W5:W104" type="list">
      <formula1>"Implemented,Planned,Needs engine,Cut"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3" activeCellId="0" sqref="D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4" min="2" style="1" width="20"/>
    <col collapsed="false" customWidth="true" hidden="false" outlineLevel="0" max="7" min="5" style="1" width="14"/>
    <col collapsed="false" customWidth="true" hidden="false" outlineLevel="0" max="8" min="8" style="1" width="12"/>
    <col collapsed="false" customWidth="true" hidden="false" outlineLevel="0" max="9" min="9" style="1" width="30"/>
    <col collapsed="false" customWidth="true" hidden="false" outlineLevel="0" max="10" min="10" style="1" width="9"/>
    <col collapsed="false" customWidth="true" hidden="false" outlineLevel="0" max="11" min="11" style="1" width="30"/>
    <col collapsed="false" customWidth="true" hidden="false" outlineLevel="0" max="12" min="12" style="1" width="9"/>
    <col collapsed="false" customWidth="true" hidden="false" outlineLevel="0" max="13" min="13" style="1" width="30"/>
    <col collapsed="false" customWidth="true" hidden="false" outlineLevel="0" max="14" min="14" style="1" width="9"/>
  </cols>
  <sheetData>
    <row r="1" customFormat="false" ht="17.25" hidden="false" customHeight="true" outlineLevel="0" collapsed="false">
      <c r="A1" s="2" t="s">
        <v>563</v>
      </c>
    </row>
    <row r="2" customFormat="false" ht="15" hidden="false" customHeight="true" outlineLevel="0" collapsed="false">
      <c r="A2" s="3" t="s">
        <v>564</v>
      </c>
    </row>
    <row r="4" customFormat="false" ht="31.5" hidden="false" customHeight="true" outlineLevel="0" collapsed="false">
      <c r="A4" s="7" t="s">
        <v>565</v>
      </c>
      <c r="B4" s="7" t="s">
        <v>566</v>
      </c>
      <c r="C4" s="7" t="s">
        <v>567</v>
      </c>
      <c r="D4" s="7" t="s">
        <v>568</v>
      </c>
      <c r="E4" s="7" t="s">
        <v>569</v>
      </c>
      <c r="F4" s="7" t="s">
        <v>570</v>
      </c>
      <c r="G4" s="7" t="s">
        <v>571</v>
      </c>
      <c r="H4" s="7" t="s">
        <v>572</v>
      </c>
      <c r="I4" s="7" t="s">
        <v>573</v>
      </c>
      <c r="J4" s="7" t="s">
        <v>574</v>
      </c>
      <c r="K4" s="7" t="s">
        <v>575</v>
      </c>
      <c r="L4" s="7" t="s">
        <v>576</v>
      </c>
      <c r="M4" s="7" t="s">
        <v>577</v>
      </c>
      <c r="N4" s="7" t="s">
        <v>578</v>
      </c>
    </row>
    <row r="5" customFormat="false" ht="15" hidden="false" customHeight="true" outlineLevel="0" collapsed="false">
      <c r="A5" s="10" t="n">
        <v>1</v>
      </c>
      <c r="B5" s="8" t="s">
        <v>579</v>
      </c>
      <c r="C5" s="8" t="s">
        <v>580</v>
      </c>
      <c r="D5" s="8" t="s">
        <v>581</v>
      </c>
      <c r="E5" s="10" t="n">
        <f aca="false">A5*Rules!$B$25</f>
        <v>2</v>
      </c>
      <c r="F5" s="10" t="n">
        <f aca="false">A5*Rules!$B$26</f>
        <v>3</v>
      </c>
      <c r="G5" s="10" t="n">
        <f aca="false">A5*Rules!$B$27</f>
        <v>1</v>
      </c>
      <c r="H5" s="10" t="n">
        <f aca="false">Degrees!B5</f>
        <v>1</v>
      </c>
      <c r="I5" s="15" t="s">
        <v>582</v>
      </c>
      <c r="J5" s="15" t="n">
        <v>30101</v>
      </c>
      <c r="K5" s="15" t="s">
        <v>583</v>
      </c>
      <c r="L5" s="15" t="n">
        <v>30201</v>
      </c>
      <c r="M5" s="15" t="s">
        <v>584</v>
      </c>
      <c r="N5" s="15" t="n">
        <v>30301</v>
      </c>
    </row>
    <row r="6" customFormat="false" ht="15" hidden="false" customHeight="true" outlineLevel="0" collapsed="false">
      <c r="A6" s="10" t="n">
        <v>2</v>
      </c>
      <c r="B6" s="8" t="s">
        <v>585</v>
      </c>
      <c r="C6" s="8" t="s">
        <v>586</v>
      </c>
      <c r="D6" s="8" t="s">
        <v>587</v>
      </c>
      <c r="E6" s="10" t="n">
        <f aca="false">A6*Rules!$B$25</f>
        <v>4</v>
      </c>
      <c r="F6" s="10" t="n">
        <f aca="false">A6*Rules!$B$26</f>
        <v>6</v>
      </c>
      <c r="G6" s="10" t="n">
        <f aca="false">A6*Rules!$B$27</f>
        <v>2</v>
      </c>
      <c r="H6" s="10" t="n">
        <f aca="false">Degrees!B6</f>
        <v>9</v>
      </c>
      <c r="I6" s="15" t="s">
        <v>588</v>
      </c>
      <c r="J6" s="15" t="n">
        <v>30102</v>
      </c>
      <c r="K6" s="15" t="s">
        <v>589</v>
      </c>
      <c r="L6" s="15" t="n">
        <v>30202</v>
      </c>
      <c r="M6" s="15" t="s">
        <v>590</v>
      </c>
      <c r="N6" s="15" t="n">
        <v>30302</v>
      </c>
    </row>
    <row r="7" customFormat="false" ht="15" hidden="false" customHeight="true" outlineLevel="0" collapsed="false">
      <c r="A7" s="10" t="n">
        <v>3</v>
      </c>
      <c r="B7" s="8" t="s">
        <v>591</v>
      </c>
      <c r="C7" s="8" t="s">
        <v>592</v>
      </c>
      <c r="D7" s="8" t="s">
        <v>593</v>
      </c>
      <c r="E7" s="10" t="n">
        <f aca="false">A7*Rules!$B$25</f>
        <v>6</v>
      </c>
      <c r="F7" s="10" t="n">
        <f aca="false">A7*Rules!$B$26</f>
        <v>9</v>
      </c>
      <c r="G7" s="10" t="n">
        <f aca="false">A7*Rules!$B$27</f>
        <v>3</v>
      </c>
      <c r="H7" s="10" t="n">
        <f aca="false">Degrees!B7</f>
        <v>17</v>
      </c>
      <c r="I7" s="15" t="s">
        <v>594</v>
      </c>
      <c r="J7" s="15" t="n">
        <v>30103</v>
      </c>
      <c r="K7" s="15" t="s">
        <v>595</v>
      </c>
      <c r="L7" s="15" t="n">
        <v>30203</v>
      </c>
      <c r="M7" s="15" t="s">
        <v>596</v>
      </c>
      <c r="N7" s="15" t="n">
        <v>30303</v>
      </c>
    </row>
    <row r="8" customFormat="false" ht="15" hidden="false" customHeight="true" outlineLevel="0" collapsed="false">
      <c r="A8" s="10" t="n">
        <v>4</v>
      </c>
      <c r="B8" s="8" t="s">
        <v>597</v>
      </c>
      <c r="C8" s="8" t="s">
        <v>598</v>
      </c>
      <c r="D8" s="8" t="s">
        <v>599</v>
      </c>
      <c r="E8" s="10" t="n">
        <f aca="false">A8*Rules!$B$25</f>
        <v>8</v>
      </c>
      <c r="F8" s="10" t="n">
        <f aca="false">A8*Rules!$B$26</f>
        <v>12</v>
      </c>
      <c r="G8" s="10" t="n">
        <f aca="false">A8*Rules!$B$27</f>
        <v>4</v>
      </c>
      <c r="H8" s="10" t="n">
        <f aca="false">Degrees!B8</f>
        <v>25</v>
      </c>
      <c r="I8" s="15" t="s">
        <v>600</v>
      </c>
      <c r="J8" s="15" t="n">
        <v>30104</v>
      </c>
      <c r="K8" s="15" t="s">
        <v>601</v>
      </c>
      <c r="L8" s="15" t="n">
        <v>30204</v>
      </c>
      <c r="M8" s="15" t="s">
        <v>602</v>
      </c>
      <c r="N8" s="15" t="n">
        <v>30304</v>
      </c>
    </row>
    <row r="9" customFormat="false" ht="15" hidden="false" customHeight="true" outlineLevel="0" collapsed="false">
      <c r="A9" s="10" t="n">
        <v>5</v>
      </c>
      <c r="B9" s="8" t="s">
        <v>603</v>
      </c>
      <c r="C9" s="8" t="s">
        <v>604</v>
      </c>
      <c r="D9" s="8" t="s">
        <v>605</v>
      </c>
      <c r="E9" s="10" t="n">
        <f aca="false">A9*Rules!$B$25</f>
        <v>10</v>
      </c>
      <c r="F9" s="10" t="n">
        <f aca="false">A9*Rules!$B$26</f>
        <v>15</v>
      </c>
      <c r="G9" s="10" t="n">
        <f aca="false">A9*Rules!$B$27</f>
        <v>5</v>
      </c>
      <c r="H9" s="10" t="n">
        <f aca="false">Degrees!B9</f>
        <v>33</v>
      </c>
      <c r="I9" s="15" t="s">
        <v>606</v>
      </c>
      <c r="J9" s="15" t="n">
        <v>30105</v>
      </c>
      <c r="K9" s="15" t="s">
        <v>607</v>
      </c>
      <c r="L9" s="15" t="n">
        <v>30205</v>
      </c>
      <c r="M9" s="15" t="s">
        <v>608</v>
      </c>
      <c r="N9" s="15" t="n">
        <v>30305</v>
      </c>
    </row>
    <row r="10" customFormat="false" ht="15" hidden="false" customHeight="true" outlineLevel="0" collapsed="false">
      <c r="A10" s="10" t="n">
        <v>6</v>
      </c>
      <c r="B10" s="8" t="s">
        <v>609</v>
      </c>
      <c r="C10" s="8" t="s">
        <v>610</v>
      </c>
      <c r="D10" s="8" t="s">
        <v>611</v>
      </c>
      <c r="E10" s="10" t="n">
        <f aca="false">A10*Rules!$B$25</f>
        <v>12</v>
      </c>
      <c r="F10" s="10" t="n">
        <f aca="false">A10*Rules!$B$26</f>
        <v>18</v>
      </c>
      <c r="G10" s="10" t="n">
        <f aca="false">A10*Rules!$B$27</f>
        <v>6</v>
      </c>
      <c r="H10" s="10" t="n">
        <f aca="false">Degrees!B10</f>
        <v>43</v>
      </c>
      <c r="I10" s="15" t="s">
        <v>612</v>
      </c>
      <c r="J10" s="15" t="n">
        <v>30106</v>
      </c>
      <c r="K10" s="15" t="s">
        <v>613</v>
      </c>
      <c r="L10" s="15" t="n">
        <v>30206</v>
      </c>
      <c r="M10" s="15" t="s">
        <v>614</v>
      </c>
      <c r="N10" s="15" t="n">
        <v>30306</v>
      </c>
    </row>
    <row r="11" customFormat="false" ht="15" hidden="false" customHeight="true" outlineLevel="0" collapsed="false">
      <c r="A11" s="10" t="n">
        <v>7</v>
      </c>
      <c r="B11" s="8" t="s">
        <v>615</v>
      </c>
      <c r="C11" s="8" t="s">
        <v>616</v>
      </c>
      <c r="D11" s="8" t="s">
        <v>617</v>
      </c>
      <c r="E11" s="10" t="n">
        <f aca="false">A11*Rules!$B$25</f>
        <v>14</v>
      </c>
      <c r="F11" s="10" t="n">
        <f aca="false">A11*Rules!$B$26</f>
        <v>21</v>
      </c>
      <c r="G11" s="10" t="n">
        <f aca="false">A11*Rules!$B$27</f>
        <v>7</v>
      </c>
      <c r="H11" s="10" t="n">
        <f aca="false">Degrees!B11</f>
        <v>53</v>
      </c>
      <c r="I11" s="15" t="s">
        <v>618</v>
      </c>
      <c r="J11" s="15" t="n">
        <v>30107</v>
      </c>
      <c r="K11" s="15" t="s">
        <v>619</v>
      </c>
      <c r="L11" s="15" t="n">
        <v>30207</v>
      </c>
      <c r="M11" s="15" t="s">
        <v>620</v>
      </c>
      <c r="N11" s="15" t="n">
        <v>30307</v>
      </c>
    </row>
    <row r="12" customFormat="false" ht="15" hidden="false" customHeight="true" outlineLevel="0" collapsed="false">
      <c r="A12" s="10" t="n">
        <v>8</v>
      </c>
      <c r="B12" s="8" t="s">
        <v>621</v>
      </c>
      <c r="C12" s="8" t="s">
        <v>622</v>
      </c>
      <c r="D12" s="8" t="s">
        <v>623</v>
      </c>
      <c r="E12" s="10" t="n">
        <f aca="false">A12*Rules!$B$25</f>
        <v>16</v>
      </c>
      <c r="F12" s="10" t="n">
        <f aca="false">A12*Rules!$B$26</f>
        <v>24</v>
      </c>
      <c r="G12" s="10" t="n">
        <f aca="false">A12*Rules!$B$27</f>
        <v>8</v>
      </c>
      <c r="H12" s="10" t="n">
        <f aca="false">Degrees!B12</f>
        <v>65</v>
      </c>
      <c r="I12" s="15" t="s">
        <v>624</v>
      </c>
      <c r="J12" s="15" t="n">
        <v>30108</v>
      </c>
      <c r="K12" s="15" t="s">
        <v>625</v>
      </c>
      <c r="L12" s="15" t="n">
        <v>30208</v>
      </c>
      <c r="M12" s="15" t="s">
        <v>626</v>
      </c>
      <c r="N12" s="15" t="n">
        <v>30308</v>
      </c>
    </row>
    <row r="13" customFormat="false" ht="15" hidden="false" customHeight="true" outlineLevel="0" collapsed="false">
      <c r="A13" s="10" t="n">
        <v>9</v>
      </c>
      <c r="B13" s="8" t="s">
        <v>627</v>
      </c>
      <c r="C13" s="8" t="s">
        <v>628</v>
      </c>
      <c r="D13" s="8" t="s">
        <v>629</v>
      </c>
      <c r="E13" s="10" t="n">
        <f aca="false">A13*Rules!$B$25</f>
        <v>18</v>
      </c>
      <c r="F13" s="10" t="n">
        <f aca="false">A13*Rules!$B$26</f>
        <v>27</v>
      </c>
      <c r="G13" s="10" t="n">
        <f aca="false">A13*Rules!$B$27</f>
        <v>9</v>
      </c>
      <c r="H13" s="10" t="n">
        <f aca="false">Degrees!B13</f>
        <v>77</v>
      </c>
      <c r="I13" s="15" t="s">
        <v>630</v>
      </c>
      <c r="J13" s="15" t="n">
        <v>30109</v>
      </c>
      <c r="K13" s="15" t="s">
        <v>631</v>
      </c>
      <c r="L13" s="15" t="n">
        <v>30209</v>
      </c>
      <c r="M13" s="15" t="s">
        <v>632</v>
      </c>
      <c r="N13" s="15" t="n">
        <v>30309</v>
      </c>
    </row>
    <row r="15" customFormat="false" ht="15" hidden="false" customHeight="true" outlineLevel="0" collapsed="false">
      <c r="A15" s="13" t="s">
        <v>633</v>
      </c>
    </row>
    <row r="16" customFormat="false" ht="15" hidden="false" customHeight="true" outlineLevel="0" collapsed="false">
      <c r="A16" s="13" t="s">
        <v>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0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10" min="6" style="1" width="9"/>
    <col collapsed="false" customWidth="true" hidden="false" outlineLevel="0" max="13" min="11" style="1" width="10"/>
    <col collapsed="false" customWidth="true" hidden="false" outlineLevel="0" max="14" min="14" style="1" width="11"/>
    <col collapsed="false" customWidth="true" hidden="false" outlineLevel="0" max="15" min="15" style="1" width="10"/>
  </cols>
  <sheetData>
    <row r="1" customFormat="false" ht="17.25" hidden="false" customHeight="true" outlineLevel="0" collapsed="false">
      <c r="A1" s="2" t="s">
        <v>635</v>
      </c>
    </row>
    <row r="2" customFormat="false" ht="15" hidden="false" customHeight="true" outlineLevel="0" collapsed="false">
      <c r="A2" s="3" t="s">
        <v>636</v>
      </c>
    </row>
    <row r="4" customFormat="false" ht="31.5" hidden="false" customHeight="true" outlineLevel="0" collapsed="false">
      <c r="A4" s="7" t="s">
        <v>565</v>
      </c>
      <c r="B4" s="7" t="s">
        <v>637</v>
      </c>
      <c r="C4" s="7" t="s">
        <v>638</v>
      </c>
      <c r="D4" s="7" t="s">
        <v>639</v>
      </c>
      <c r="E4" s="7" t="s">
        <v>640</v>
      </c>
      <c r="F4" s="7" t="s">
        <v>641</v>
      </c>
      <c r="G4" s="7" t="s">
        <v>642</v>
      </c>
      <c r="H4" s="7" t="s">
        <v>643</v>
      </c>
      <c r="I4" s="7" t="s">
        <v>644</v>
      </c>
      <c r="J4" s="7" t="s">
        <v>645</v>
      </c>
      <c r="K4" s="7" t="s">
        <v>646</v>
      </c>
      <c r="L4" s="7" t="s">
        <v>647</v>
      </c>
      <c r="M4" s="7" t="s">
        <v>648</v>
      </c>
      <c r="N4" s="7" t="s">
        <v>649</v>
      </c>
      <c r="O4" s="7" t="s">
        <v>650</v>
      </c>
    </row>
    <row r="5" customFormat="false" ht="15" hidden="false" customHeight="true" outlineLevel="0" collapsed="false">
      <c r="A5" s="10" t="n">
        <v>1</v>
      </c>
      <c r="B5" s="8" t="n">
        <v>1</v>
      </c>
      <c r="C5" s="8" t="n">
        <v>8</v>
      </c>
      <c r="D5" s="17" t="n">
        <v>0.001</v>
      </c>
      <c r="E5" s="18" t="n">
        <f aca="false">MIN(1,D5*Rules!$B$22)</f>
        <v>0.003</v>
      </c>
      <c r="F5" s="18" t="n">
        <f aca="false">MIN(1,D5*Rules!$B$23)</f>
        <v>0.008</v>
      </c>
      <c r="G5" s="18" t="n">
        <f aca="false">MIN(1,D5*Rules!$B$24)</f>
        <v>0.1</v>
      </c>
      <c r="H5" s="17" t="n">
        <v>0.3</v>
      </c>
      <c r="I5" s="17" t="n">
        <v>0.03</v>
      </c>
      <c r="J5" s="18" t="n">
        <f aca="false">1-H5-I5</f>
        <v>0.67</v>
      </c>
      <c r="K5" s="8" t="n">
        <v>85</v>
      </c>
      <c r="L5" s="8" t="n">
        <v>13</v>
      </c>
      <c r="M5" s="8" t="n">
        <v>2</v>
      </c>
      <c r="N5" s="19" t="n">
        <f aca="false">H5*(1+Rules!$B$20)+I5*(3*K5+4*L5+MIN(5,Rules!$B$19)*M5)/(K5+L5+M5)</f>
        <v>0.5151</v>
      </c>
      <c r="O5" s="20" t="n">
        <f aca="false">COUNTIFS(Affixes!$I$5:$I$104,"&lt;="&amp;A5)</f>
        <v>14</v>
      </c>
    </row>
    <row r="6" customFormat="false" ht="15" hidden="false" customHeight="true" outlineLevel="0" collapsed="false">
      <c r="A6" s="10" t="n">
        <v>2</v>
      </c>
      <c r="B6" s="8" t="n">
        <v>9</v>
      </c>
      <c r="C6" s="8" t="n">
        <v>16</v>
      </c>
      <c r="D6" s="17" t="n">
        <v>0.001</v>
      </c>
      <c r="E6" s="18" t="n">
        <f aca="false">MIN(1,D6*Rules!$B$22)</f>
        <v>0.003</v>
      </c>
      <c r="F6" s="18" t="n">
        <f aca="false">MIN(1,D6*Rules!$B$23)</f>
        <v>0.008</v>
      </c>
      <c r="G6" s="18" t="n">
        <f aca="false">MIN(1,D6*Rules!$B$24)</f>
        <v>0.1</v>
      </c>
      <c r="H6" s="17" t="n">
        <v>0.32</v>
      </c>
      <c r="I6" s="17" t="n">
        <v>0.04</v>
      </c>
      <c r="J6" s="18" t="n">
        <f aca="false">1-H6-I6</f>
        <v>0.64</v>
      </c>
      <c r="K6" s="8" t="n">
        <v>80</v>
      </c>
      <c r="L6" s="8" t="n">
        <v>16</v>
      </c>
      <c r="M6" s="8" t="n">
        <v>4</v>
      </c>
      <c r="N6" s="19" t="n">
        <f aca="false">H6*(1+Rules!$B$20)+I6*(3*K6+4*L6+MIN(5,Rules!$B$19)*M6)/(K6+L6+M6)</f>
        <v>0.5776</v>
      </c>
      <c r="O6" s="20" t="n">
        <f aca="false">COUNTIFS(Affixes!$I$5:$I$104,"&lt;="&amp;A6)</f>
        <v>18</v>
      </c>
    </row>
    <row r="7" customFormat="false" ht="15" hidden="false" customHeight="true" outlineLevel="0" collapsed="false">
      <c r="A7" s="10" t="n">
        <v>3</v>
      </c>
      <c r="B7" s="8" t="n">
        <v>17</v>
      </c>
      <c r="C7" s="8" t="n">
        <v>24</v>
      </c>
      <c r="D7" s="17" t="n">
        <v>0.0011</v>
      </c>
      <c r="E7" s="18" t="n">
        <f aca="false">MIN(1,D7*Rules!$B$22)</f>
        <v>0.0033</v>
      </c>
      <c r="F7" s="18" t="n">
        <f aca="false">MIN(1,D7*Rules!$B$23)</f>
        <v>0.0088</v>
      </c>
      <c r="G7" s="18" t="n">
        <f aca="false">MIN(1,D7*Rules!$B$24)</f>
        <v>0.11</v>
      </c>
      <c r="H7" s="17" t="n">
        <v>0.34</v>
      </c>
      <c r="I7" s="17" t="n">
        <v>0.05</v>
      </c>
      <c r="J7" s="18" t="n">
        <f aca="false">1-H7-I7</f>
        <v>0.61</v>
      </c>
      <c r="K7" s="8" t="n">
        <v>75</v>
      </c>
      <c r="L7" s="8" t="n">
        <v>20</v>
      </c>
      <c r="M7" s="8" t="n">
        <v>5</v>
      </c>
      <c r="N7" s="19" t="n">
        <f aca="false">H7*(1+Rules!$B$20)+I7*(3*K7+4*L7+MIN(5,Rules!$B$19)*M7)/(K7+L7+M7)</f>
        <v>0.641</v>
      </c>
      <c r="O7" s="20" t="n">
        <f aca="false">COUNTIFS(Affixes!$I$5:$I$104,"&lt;="&amp;A7)</f>
        <v>36</v>
      </c>
    </row>
    <row r="8" customFormat="false" ht="15" hidden="false" customHeight="true" outlineLevel="0" collapsed="false">
      <c r="A8" s="10" t="n">
        <v>4</v>
      </c>
      <c r="B8" s="8" t="n">
        <v>25</v>
      </c>
      <c r="C8" s="8" t="n">
        <v>32</v>
      </c>
      <c r="D8" s="17" t="n">
        <v>0.0011</v>
      </c>
      <c r="E8" s="18" t="n">
        <f aca="false">MIN(1,D8*Rules!$B$22)</f>
        <v>0.0033</v>
      </c>
      <c r="F8" s="18" t="n">
        <f aca="false">MIN(1,D8*Rules!$B$23)</f>
        <v>0.0088</v>
      </c>
      <c r="G8" s="18" t="n">
        <f aca="false">MIN(1,D8*Rules!$B$24)</f>
        <v>0.11</v>
      </c>
      <c r="H8" s="17" t="n">
        <v>0.36</v>
      </c>
      <c r="I8" s="17" t="n">
        <v>0.06</v>
      </c>
      <c r="J8" s="18" t="n">
        <f aca="false">1-H8-I8</f>
        <v>0.58</v>
      </c>
      <c r="K8" s="8" t="n">
        <v>70</v>
      </c>
      <c r="L8" s="8" t="n">
        <v>23</v>
      </c>
      <c r="M8" s="8" t="n">
        <v>7</v>
      </c>
      <c r="N8" s="19" t="n">
        <f aca="false">H8*(1+Rules!$B$20)+I8*(3*K8+4*L8+MIN(5,Rules!$B$19)*M8)/(K8+L8+M8)</f>
        <v>0.7062</v>
      </c>
      <c r="O8" s="20" t="n">
        <f aca="false">COUNTIFS(Affixes!$I$5:$I$104,"&lt;="&amp;A8)</f>
        <v>48</v>
      </c>
    </row>
    <row r="9" customFormat="false" ht="15" hidden="false" customHeight="true" outlineLevel="0" collapsed="false">
      <c r="A9" s="10" t="n">
        <v>5</v>
      </c>
      <c r="B9" s="8" t="n">
        <v>33</v>
      </c>
      <c r="C9" s="8" t="n">
        <v>42</v>
      </c>
      <c r="D9" s="17" t="n">
        <v>0.0012</v>
      </c>
      <c r="E9" s="18" t="n">
        <f aca="false">MIN(1,D9*Rules!$B$22)</f>
        <v>0.0036</v>
      </c>
      <c r="F9" s="18" t="n">
        <f aca="false">MIN(1,D9*Rules!$B$23)</f>
        <v>0.0096</v>
      </c>
      <c r="G9" s="18" t="n">
        <f aca="false">MIN(1,D9*Rules!$B$24)</f>
        <v>0.12</v>
      </c>
      <c r="H9" s="17" t="n">
        <v>0.38</v>
      </c>
      <c r="I9" s="17" t="n">
        <v>0.07</v>
      </c>
      <c r="J9" s="18" t="n">
        <f aca="false">1-H9-I9</f>
        <v>0.55</v>
      </c>
      <c r="K9" s="8" t="n">
        <v>64</v>
      </c>
      <c r="L9" s="8" t="n">
        <v>27</v>
      </c>
      <c r="M9" s="8" t="n">
        <v>9</v>
      </c>
      <c r="N9" s="19" t="n">
        <f aca="false">H9*(1+Rules!$B$20)+I9*(3*K9+4*L9+MIN(5,Rules!$B$19)*M9)/(K9+L9+M9)</f>
        <v>0.7735</v>
      </c>
      <c r="O9" s="20" t="n">
        <f aca="false">COUNTIFS(Affixes!$I$5:$I$104,"&lt;="&amp;A9)</f>
        <v>61</v>
      </c>
    </row>
    <row r="10" customFormat="false" ht="15" hidden="false" customHeight="true" outlineLevel="0" collapsed="false">
      <c r="A10" s="10" t="n">
        <v>6</v>
      </c>
      <c r="B10" s="8" t="n">
        <v>43</v>
      </c>
      <c r="C10" s="8" t="n">
        <v>52</v>
      </c>
      <c r="D10" s="17" t="n">
        <v>0.0012</v>
      </c>
      <c r="E10" s="18" t="n">
        <f aca="false">MIN(1,D10*Rules!$B$22)</f>
        <v>0.0036</v>
      </c>
      <c r="F10" s="18" t="n">
        <f aca="false">MIN(1,D10*Rules!$B$23)</f>
        <v>0.0096</v>
      </c>
      <c r="G10" s="18" t="n">
        <f aca="false">MIN(1,D10*Rules!$B$24)</f>
        <v>0.12</v>
      </c>
      <c r="H10" s="17" t="n">
        <v>0.4</v>
      </c>
      <c r="I10" s="17" t="n">
        <v>0.08</v>
      </c>
      <c r="J10" s="18" t="n">
        <f aca="false">1-H10-I10</f>
        <v>0.52</v>
      </c>
      <c r="K10" s="8" t="n">
        <v>58</v>
      </c>
      <c r="L10" s="8" t="n">
        <v>30</v>
      </c>
      <c r="M10" s="8" t="n">
        <v>12</v>
      </c>
      <c r="N10" s="19" t="n">
        <f aca="false">H10*(1+Rules!$B$20)+I10*(3*K10+4*L10+MIN(5,Rules!$B$19)*M10)/(K10+L10+M10)</f>
        <v>0.8432</v>
      </c>
      <c r="O10" s="20" t="n">
        <f aca="false">COUNTIFS(Affixes!$I$5:$I$104,"&lt;="&amp;A10)</f>
        <v>69</v>
      </c>
    </row>
    <row r="11" customFormat="false" ht="15" hidden="false" customHeight="true" outlineLevel="0" collapsed="false">
      <c r="A11" s="10" t="n">
        <v>7</v>
      </c>
      <c r="B11" s="8" t="n">
        <v>53</v>
      </c>
      <c r="C11" s="8" t="n">
        <v>64</v>
      </c>
      <c r="D11" s="17" t="n">
        <v>0.0013</v>
      </c>
      <c r="E11" s="18" t="n">
        <f aca="false">MIN(1,D11*Rules!$B$22)</f>
        <v>0.0039</v>
      </c>
      <c r="F11" s="18" t="n">
        <f aca="false">MIN(1,D11*Rules!$B$23)</f>
        <v>0.0104</v>
      </c>
      <c r="G11" s="18" t="n">
        <f aca="false">MIN(1,D11*Rules!$B$24)</f>
        <v>0.13</v>
      </c>
      <c r="H11" s="17" t="n">
        <v>0.42</v>
      </c>
      <c r="I11" s="17" t="n">
        <v>0.09</v>
      </c>
      <c r="J11" s="18" t="n">
        <f aca="false">1-H11-I11</f>
        <v>0.49</v>
      </c>
      <c r="K11" s="8" t="n">
        <v>52</v>
      </c>
      <c r="L11" s="8" t="n">
        <v>33</v>
      </c>
      <c r="M11" s="8" t="n">
        <v>15</v>
      </c>
      <c r="N11" s="19" t="n">
        <f aca="false">H11*(1+Rules!$B$20)+I11*(3*K11+4*L11+MIN(5,Rules!$B$19)*M11)/(K11+L11+M11)</f>
        <v>0.9147</v>
      </c>
      <c r="O11" s="20" t="n">
        <f aca="false">COUNTIFS(Affixes!$I$5:$I$104,"&lt;="&amp;A11)</f>
        <v>85</v>
      </c>
    </row>
    <row r="12" customFormat="false" ht="15" hidden="false" customHeight="true" outlineLevel="0" collapsed="false">
      <c r="A12" s="10" t="n">
        <v>8</v>
      </c>
      <c r="B12" s="8" t="n">
        <v>65</v>
      </c>
      <c r="C12" s="8" t="n">
        <v>76</v>
      </c>
      <c r="D12" s="17" t="n">
        <v>0.0013</v>
      </c>
      <c r="E12" s="18" t="n">
        <f aca="false">MIN(1,D12*Rules!$B$22)</f>
        <v>0.0039</v>
      </c>
      <c r="F12" s="18" t="n">
        <f aca="false">MIN(1,D12*Rules!$B$23)</f>
        <v>0.0104</v>
      </c>
      <c r="G12" s="18" t="n">
        <f aca="false">MIN(1,D12*Rules!$B$24)</f>
        <v>0.13</v>
      </c>
      <c r="H12" s="17" t="n">
        <v>0.44</v>
      </c>
      <c r="I12" s="17" t="n">
        <v>0.1</v>
      </c>
      <c r="J12" s="18" t="n">
        <f aca="false">1-H12-I12</f>
        <v>0.46</v>
      </c>
      <c r="K12" s="8" t="n">
        <v>46</v>
      </c>
      <c r="L12" s="8" t="n">
        <v>36</v>
      </c>
      <c r="M12" s="8" t="n">
        <v>18</v>
      </c>
      <c r="N12" s="19" t="n">
        <f aca="false">H12*(1+Rules!$B$20)+I12*(3*K12+4*L12+MIN(5,Rules!$B$19)*M12)/(K12+L12+M12)</f>
        <v>0.988</v>
      </c>
      <c r="O12" s="20" t="n">
        <f aca="false">COUNTIFS(Affixes!$I$5:$I$104,"&lt;="&amp;A12)</f>
        <v>96</v>
      </c>
    </row>
    <row r="13" customFormat="false" ht="15" hidden="false" customHeight="true" outlineLevel="0" collapsed="false">
      <c r="A13" s="10" t="n">
        <v>9</v>
      </c>
      <c r="B13" s="8" t="n">
        <v>77</v>
      </c>
      <c r="C13" s="8" t="n">
        <v>90</v>
      </c>
      <c r="D13" s="17" t="n">
        <v>0.0014</v>
      </c>
      <c r="E13" s="18" t="n">
        <f aca="false">MIN(1,D13*Rules!$B$22)</f>
        <v>0.0042</v>
      </c>
      <c r="F13" s="18" t="n">
        <f aca="false">MIN(1,D13*Rules!$B$23)</f>
        <v>0.0112</v>
      </c>
      <c r="G13" s="18" t="n">
        <f aca="false">MIN(1,D13*Rules!$B$24)</f>
        <v>0.14</v>
      </c>
      <c r="H13" s="17" t="n">
        <v>0.46</v>
      </c>
      <c r="I13" s="17" t="n">
        <v>0.12</v>
      </c>
      <c r="J13" s="18" t="n">
        <f aca="false">1-H13-I13</f>
        <v>0.42</v>
      </c>
      <c r="K13" s="8" t="n">
        <v>40</v>
      </c>
      <c r="L13" s="8" t="n">
        <v>38</v>
      </c>
      <c r="M13" s="8" t="n">
        <v>22</v>
      </c>
      <c r="N13" s="19" t="n">
        <f aca="false">H13*(1+Rules!$B$20)+I13*(3*K13+4*L13+MIN(5,Rules!$B$19)*M13)/(K13+L13+M13)</f>
        <v>1.1024</v>
      </c>
      <c r="O13" s="20" t="n">
        <f aca="false">COUNTIFS(Affixes!$I$5:$I$104,"&lt;="&amp;A13)</f>
        <v>100</v>
      </c>
    </row>
    <row r="15" customFormat="false" ht="15" hidden="false" customHeight="true" outlineLevel="0" collapsed="false">
      <c r="A15" s="13" t="s">
        <v>651</v>
      </c>
    </row>
    <row r="16" customFormat="false" ht="15" hidden="false" customHeight="true" outlineLevel="0" collapsed="false">
      <c r="A16" s="13" t="s">
        <v>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86" activePane="bottomRight" state="frozen"/>
      <selection pane="topLeft" activeCell="A1" activeCellId="0" sqref="A1"/>
      <selection pane="topRight" activeCell="C1" activeCellId="0" sqref="C1"/>
      <selection pane="bottomLeft" activeCell="A86" activeCellId="0" sqref="A8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16"/>
    <col collapsed="false" customWidth="true" hidden="false" outlineLevel="0" max="7" min="7" style="1" width="50"/>
    <col collapsed="false" customWidth="true" hidden="false" outlineLevel="0" max="8" min="8" style="1" width="6"/>
    <col collapsed="false" customWidth="true" hidden="false" outlineLevel="0" max="11" min="9" style="1" width="8"/>
    <col collapsed="false" customWidth="true" hidden="false" outlineLevel="0" max="12" min="12" style="1" width="10"/>
    <col collapsed="false" customWidth="true" hidden="false" outlineLevel="0" max="13" min="13" style="1" width="7"/>
    <col collapsed="false" customWidth="true" hidden="false" outlineLevel="0" max="14" min="14" style="1" width="10"/>
    <col collapsed="false" customWidth="true" hidden="false" outlineLevel="0" max="15" min="15" style="1" width="36"/>
    <col collapsed="false" customWidth="true" hidden="false" outlineLevel="0" max="16" min="16" style="1" width="12"/>
    <col collapsed="false" customWidth="true" hidden="false" outlineLevel="0" max="17" min="17" style="1" width="7"/>
  </cols>
  <sheetData>
    <row r="1" customFormat="false" ht="17.25" hidden="false" customHeight="true" outlineLevel="0" collapsed="false">
      <c r="A1" s="2" t="s">
        <v>653</v>
      </c>
    </row>
    <row r="2" customFormat="false" ht="15" hidden="false" customHeight="true" outlineLevel="0" collapsed="false">
      <c r="A2" s="3" t="s">
        <v>654</v>
      </c>
    </row>
    <row r="4" customFormat="false" ht="31.5" hidden="false" customHeight="true" outlineLevel="0" collapsed="false">
      <c r="A4" s="7" t="s">
        <v>655</v>
      </c>
      <c r="B4" s="7" t="s">
        <v>656</v>
      </c>
      <c r="C4" s="7" t="s">
        <v>657</v>
      </c>
      <c r="D4" s="7" t="s">
        <v>658</v>
      </c>
      <c r="E4" s="7" t="s">
        <v>659</v>
      </c>
      <c r="F4" s="7" t="s">
        <v>660</v>
      </c>
      <c r="G4" s="7" t="s">
        <v>142</v>
      </c>
      <c r="H4" s="7" t="s">
        <v>661</v>
      </c>
      <c r="I4" s="7" t="s">
        <v>662</v>
      </c>
      <c r="J4" s="7" t="s">
        <v>663</v>
      </c>
      <c r="K4" s="7" t="s">
        <v>664</v>
      </c>
      <c r="L4" s="7" t="s">
        <v>31</v>
      </c>
      <c r="M4" s="7" t="s">
        <v>665</v>
      </c>
      <c r="N4" s="7" t="s">
        <v>94</v>
      </c>
      <c r="O4" s="7" t="s">
        <v>158</v>
      </c>
      <c r="P4" s="7" t="s">
        <v>159</v>
      </c>
      <c r="Q4" s="21" t="s">
        <v>666</v>
      </c>
    </row>
    <row r="5" customFormat="false" ht="15" hidden="false" customHeight="true" outlineLevel="0" collapsed="false">
      <c r="A5" s="10" t="s">
        <v>667</v>
      </c>
      <c r="B5" s="8" t="s">
        <v>668</v>
      </c>
      <c r="C5" s="10" t="s">
        <v>669</v>
      </c>
      <c r="D5" s="10" t="s">
        <v>670</v>
      </c>
      <c r="E5" s="8" t="s">
        <v>671</v>
      </c>
      <c r="F5" s="8" t="s">
        <v>672</v>
      </c>
      <c r="G5" s="9" t="s">
        <v>673</v>
      </c>
      <c r="H5" s="10" t="n">
        <v>1</v>
      </c>
      <c r="I5" s="8" t="n">
        <v>1</v>
      </c>
      <c r="J5" s="8" t="n">
        <v>5</v>
      </c>
      <c r="K5" s="8" t="n">
        <v>10</v>
      </c>
      <c r="L5" s="8" t="s">
        <v>674</v>
      </c>
      <c r="M5" s="8" t="n">
        <v>100</v>
      </c>
      <c r="N5" s="8" t="s">
        <v>675</v>
      </c>
      <c r="O5" s="9" t="s">
        <v>676</v>
      </c>
      <c r="P5" s="8" t="s">
        <v>172</v>
      </c>
      <c r="Q5" s="15" t="n">
        <v>1</v>
      </c>
    </row>
    <row r="6" customFormat="false" ht="15" hidden="false" customHeight="true" outlineLevel="0" collapsed="false">
      <c r="A6" s="10" t="s">
        <v>677</v>
      </c>
      <c r="B6" s="8" t="s">
        <v>678</v>
      </c>
      <c r="C6" s="10" t="s">
        <v>669</v>
      </c>
      <c r="D6" s="10" t="s">
        <v>670</v>
      </c>
      <c r="E6" s="8" t="s">
        <v>671</v>
      </c>
      <c r="F6" s="8" t="s">
        <v>672</v>
      </c>
      <c r="G6" s="9" t="s">
        <v>673</v>
      </c>
      <c r="H6" s="10" t="n">
        <v>2</v>
      </c>
      <c r="I6" s="8" t="n">
        <v>3</v>
      </c>
      <c r="J6" s="8" t="n">
        <v>11</v>
      </c>
      <c r="K6" s="8" t="n">
        <v>20</v>
      </c>
      <c r="L6" s="8" t="s">
        <v>674</v>
      </c>
      <c r="M6" s="8" t="n">
        <v>85</v>
      </c>
      <c r="N6" s="8" t="s">
        <v>675</v>
      </c>
      <c r="O6" s="9" t="s">
        <v>676</v>
      </c>
      <c r="P6" s="8" t="s">
        <v>172</v>
      </c>
      <c r="Q6" s="15" t="n">
        <v>2</v>
      </c>
    </row>
    <row r="7" customFormat="false" ht="15" hidden="false" customHeight="true" outlineLevel="0" collapsed="false">
      <c r="A7" s="10" t="s">
        <v>679</v>
      </c>
      <c r="B7" s="8" t="s">
        <v>680</v>
      </c>
      <c r="C7" s="10" t="s">
        <v>669</v>
      </c>
      <c r="D7" s="10" t="s">
        <v>670</v>
      </c>
      <c r="E7" s="8" t="s">
        <v>671</v>
      </c>
      <c r="F7" s="8" t="s">
        <v>672</v>
      </c>
      <c r="G7" s="9" t="s">
        <v>673</v>
      </c>
      <c r="H7" s="10" t="n">
        <v>3</v>
      </c>
      <c r="I7" s="8" t="n">
        <v>5</v>
      </c>
      <c r="J7" s="8" t="n">
        <v>21</v>
      </c>
      <c r="K7" s="8" t="n">
        <v>35</v>
      </c>
      <c r="L7" s="8" t="s">
        <v>674</v>
      </c>
      <c r="M7" s="8" t="n">
        <v>70</v>
      </c>
      <c r="N7" s="8" t="s">
        <v>675</v>
      </c>
      <c r="O7" s="9" t="s">
        <v>676</v>
      </c>
      <c r="P7" s="8" t="s">
        <v>172</v>
      </c>
      <c r="Q7" s="15" t="n">
        <v>3</v>
      </c>
    </row>
    <row r="8" customFormat="false" ht="15" hidden="false" customHeight="true" outlineLevel="0" collapsed="false">
      <c r="A8" s="10" t="s">
        <v>681</v>
      </c>
      <c r="B8" s="8" t="s">
        <v>682</v>
      </c>
      <c r="C8" s="10" t="s">
        <v>669</v>
      </c>
      <c r="D8" s="10" t="s">
        <v>670</v>
      </c>
      <c r="E8" s="8" t="s">
        <v>671</v>
      </c>
      <c r="F8" s="8" t="s">
        <v>672</v>
      </c>
      <c r="G8" s="9" t="s">
        <v>673</v>
      </c>
      <c r="H8" s="10" t="n">
        <v>4</v>
      </c>
      <c r="I8" s="8" t="n">
        <v>7</v>
      </c>
      <c r="J8" s="8" t="n">
        <v>36</v>
      </c>
      <c r="K8" s="8" t="n">
        <v>50</v>
      </c>
      <c r="L8" s="8" t="s">
        <v>674</v>
      </c>
      <c r="M8" s="8" t="n">
        <v>55</v>
      </c>
      <c r="N8" s="8" t="s">
        <v>675</v>
      </c>
      <c r="O8" s="9" t="s">
        <v>676</v>
      </c>
      <c r="P8" s="8" t="s">
        <v>172</v>
      </c>
      <c r="Q8" s="15" t="n">
        <v>4</v>
      </c>
    </row>
    <row r="9" customFormat="false" ht="15" hidden="false" customHeight="true" outlineLevel="0" collapsed="false">
      <c r="A9" s="10" t="s">
        <v>683</v>
      </c>
      <c r="B9" s="8" t="s">
        <v>684</v>
      </c>
      <c r="C9" s="10" t="s">
        <v>669</v>
      </c>
      <c r="D9" s="10" t="s">
        <v>685</v>
      </c>
      <c r="E9" s="8" t="s">
        <v>671</v>
      </c>
      <c r="F9" s="8" t="s">
        <v>672</v>
      </c>
      <c r="G9" s="9" t="s">
        <v>686</v>
      </c>
      <c r="H9" s="10" t="n">
        <v>1</v>
      </c>
      <c r="I9" s="8" t="n">
        <v>1</v>
      </c>
      <c r="J9" s="8" t="n">
        <v>5</v>
      </c>
      <c r="K9" s="8" t="n">
        <v>10</v>
      </c>
      <c r="L9" s="8" t="s">
        <v>674</v>
      </c>
      <c r="M9" s="8" t="n">
        <v>100</v>
      </c>
      <c r="N9" s="8" t="s">
        <v>675</v>
      </c>
      <c r="O9" s="9" t="s">
        <v>687</v>
      </c>
      <c r="P9" s="8" t="s">
        <v>172</v>
      </c>
      <c r="Q9" s="15" t="n">
        <v>5</v>
      </c>
    </row>
    <row r="10" customFormat="false" ht="15" hidden="false" customHeight="true" outlineLevel="0" collapsed="false">
      <c r="A10" s="10" t="s">
        <v>688</v>
      </c>
      <c r="B10" s="8" t="s">
        <v>689</v>
      </c>
      <c r="C10" s="10" t="s">
        <v>669</v>
      </c>
      <c r="D10" s="10" t="s">
        <v>685</v>
      </c>
      <c r="E10" s="8" t="s">
        <v>671</v>
      </c>
      <c r="F10" s="8" t="s">
        <v>672</v>
      </c>
      <c r="G10" s="9" t="s">
        <v>686</v>
      </c>
      <c r="H10" s="10" t="n">
        <v>2</v>
      </c>
      <c r="I10" s="8" t="n">
        <v>3</v>
      </c>
      <c r="J10" s="8" t="n">
        <v>11</v>
      </c>
      <c r="K10" s="8" t="n">
        <v>20</v>
      </c>
      <c r="L10" s="8" t="s">
        <v>674</v>
      </c>
      <c r="M10" s="8" t="n">
        <v>85</v>
      </c>
      <c r="N10" s="8" t="s">
        <v>675</v>
      </c>
      <c r="O10" s="9" t="s">
        <v>687</v>
      </c>
      <c r="P10" s="8" t="s">
        <v>172</v>
      </c>
      <c r="Q10" s="15" t="n">
        <v>6</v>
      </c>
    </row>
    <row r="11" customFormat="false" ht="15" hidden="false" customHeight="true" outlineLevel="0" collapsed="false">
      <c r="A11" s="10" t="s">
        <v>690</v>
      </c>
      <c r="B11" s="8" t="s">
        <v>691</v>
      </c>
      <c r="C11" s="10" t="s">
        <v>669</v>
      </c>
      <c r="D11" s="10" t="s">
        <v>685</v>
      </c>
      <c r="E11" s="8" t="s">
        <v>671</v>
      </c>
      <c r="F11" s="8" t="s">
        <v>672</v>
      </c>
      <c r="G11" s="9" t="s">
        <v>686</v>
      </c>
      <c r="H11" s="10" t="n">
        <v>3</v>
      </c>
      <c r="I11" s="8" t="n">
        <v>5</v>
      </c>
      <c r="J11" s="8" t="n">
        <v>21</v>
      </c>
      <c r="K11" s="8" t="n">
        <v>35</v>
      </c>
      <c r="L11" s="8" t="s">
        <v>674</v>
      </c>
      <c r="M11" s="8" t="n">
        <v>70</v>
      </c>
      <c r="N11" s="8" t="s">
        <v>675</v>
      </c>
      <c r="O11" s="9" t="s">
        <v>687</v>
      </c>
      <c r="P11" s="8" t="s">
        <v>172</v>
      </c>
      <c r="Q11" s="15" t="n">
        <v>7</v>
      </c>
    </row>
    <row r="12" customFormat="false" ht="15" hidden="false" customHeight="true" outlineLevel="0" collapsed="false">
      <c r="A12" s="10" t="s">
        <v>692</v>
      </c>
      <c r="B12" s="8" t="s">
        <v>693</v>
      </c>
      <c r="C12" s="10" t="s">
        <v>669</v>
      </c>
      <c r="D12" s="10" t="s">
        <v>685</v>
      </c>
      <c r="E12" s="8" t="s">
        <v>671</v>
      </c>
      <c r="F12" s="8" t="s">
        <v>672</v>
      </c>
      <c r="G12" s="9" t="s">
        <v>686</v>
      </c>
      <c r="H12" s="10" t="n">
        <v>4</v>
      </c>
      <c r="I12" s="8" t="n">
        <v>7</v>
      </c>
      <c r="J12" s="8" t="n">
        <v>36</v>
      </c>
      <c r="K12" s="8" t="n">
        <v>50</v>
      </c>
      <c r="L12" s="8" t="s">
        <v>674</v>
      </c>
      <c r="M12" s="8" t="n">
        <v>55</v>
      </c>
      <c r="N12" s="8" t="s">
        <v>675</v>
      </c>
      <c r="O12" s="9" t="s">
        <v>687</v>
      </c>
      <c r="P12" s="8" t="s">
        <v>172</v>
      </c>
      <c r="Q12" s="15" t="n">
        <v>8</v>
      </c>
    </row>
    <row r="13" customFormat="false" ht="15" hidden="false" customHeight="true" outlineLevel="0" collapsed="false">
      <c r="A13" s="10" t="s">
        <v>694</v>
      </c>
      <c r="B13" s="8" t="s">
        <v>695</v>
      </c>
      <c r="C13" s="10" t="s">
        <v>669</v>
      </c>
      <c r="D13" s="10" t="s">
        <v>696</v>
      </c>
      <c r="E13" s="8" t="s">
        <v>671</v>
      </c>
      <c r="F13" s="8" t="s">
        <v>697</v>
      </c>
      <c r="G13" s="9" t="s">
        <v>698</v>
      </c>
      <c r="H13" s="10" t="n">
        <v>1</v>
      </c>
      <c r="I13" s="8" t="n">
        <v>2</v>
      </c>
      <c r="J13" s="8" t="n">
        <v>2</v>
      </c>
      <c r="K13" s="8" t="n">
        <v>3</v>
      </c>
      <c r="L13" s="8" t="s">
        <v>674</v>
      </c>
      <c r="M13" s="8" t="n">
        <v>100</v>
      </c>
      <c r="N13" s="8" t="s">
        <v>675</v>
      </c>
      <c r="O13" s="9" t="s">
        <v>699</v>
      </c>
      <c r="P13" s="8" t="s">
        <v>172</v>
      </c>
      <c r="Q13" s="15" t="n">
        <v>9</v>
      </c>
    </row>
    <row r="14" customFormat="false" ht="15" hidden="false" customHeight="true" outlineLevel="0" collapsed="false">
      <c r="A14" s="10" t="s">
        <v>700</v>
      </c>
      <c r="B14" s="8" t="s">
        <v>701</v>
      </c>
      <c r="C14" s="10" t="s">
        <v>669</v>
      </c>
      <c r="D14" s="10" t="s">
        <v>696</v>
      </c>
      <c r="E14" s="8" t="s">
        <v>671</v>
      </c>
      <c r="F14" s="8" t="s">
        <v>697</v>
      </c>
      <c r="G14" s="9" t="s">
        <v>698</v>
      </c>
      <c r="H14" s="10" t="n">
        <v>2</v>
      </c>
      <c r="I14" s="8" t="n">
        <v>4</v>
      </c>
      <c r="J14" s="8" t="n">
        <v>4</v>
      </c>
      <c r="K14" s="8" t="n">
        <v>6</v>
      </c>
      <c r="L14" s="8" t="s">
        <v>674</v>
      </c>
      <c r="M14" s="8" t="n">
        <v>85</v>
      </c>
      <c r="N14" s="8" t="s">
        <v>675</v>
      </c>
      <c r="O14" s="9" t="s">
        <v>699</v>
      </c>
      <c r="P14" s="8" t="s">
        <v>172</v>
      </c>
      <c r="Q14" s="15" t="n">
        <v>10</v>
      </c>
    </row>
    <row r="15" customFormat="false" ht="15" hidden="false" customHeight="true" outlineLevel="0" collapsed="false">
      <c r="A15" s="10" t="s">
        <v>702</v>
      </c>
      <c r="B15" s="8" t="s">
        <v>703</v>
      </c>
      <c r="C15" s="10" t="s">
        <v>669</v>
      </c>
      <c r="D15" s="10" t="s">
        <v>696</v>
      </c>
      <c r="E15" s="8" t="s">
        <v>671</v>
      </c>
      <c r="F15" s="8" t="s">
        <v>697</v>
      </c>
      <c r="G15" s="9" t="s">
        <v>698</v>
      </c>
      <c r="H15" s="10" t="n">
        <v>3</v>
      </c>
      <c r="I15" s="8" t="n">
        <v>6</v>
      </c>
      <c r="J15" s="8" t="n">
        <v>7</v>
      </c>
      <c r="K15" s="8" t="n">
        <v>9</v>
      </c>
      <c r="L15" s="8" t="s">
        <v>674</v>
      </c>
      <c r="M15" s="8" t="n">
        <v>70</v>
      </c>
      <c r="N15" s="8" t="s">
        <v>675</v>
      </c>
      <c r="O15" s="9" t="s">
        <v>699</v>
      </c>
      <c r="P15" s="8" t="s">
        <v>172</v>
      </c>
      <c r="Q15" s="15" t="n">
        <v>11</v>
      </c>
    </row>
    <row r="16" customFormat="false" ht="15" hidden="false" customHeight="true" outlineLevel="0" collapsed="false">
      <c r="A16" s="10" t="s">
        <v>704</v>
      </c>
      <c r="B16" s="8" t="s">
        <v>705</v>
      </c>
      <c r="C16" s="10" t="s">
        <v>669</v>
      </c>
      <c r="D16" s="10" t="s">
        <v>706</v>
      </c>
      <c r="E16" s="8" t="s">
        <v>671</v>
      </c>
      <c r="F16" s="8" t="s">
        <v>707</v>
      </c>
      <c r="G16" s="9" t="s">
        <v>708</v>
      </c>
      <c r="H16" s="10" t="n">
        <v>1</v>
      </c>
      <c r="I16" s="8" t="n">
        <v>1</v>
      </c>
      <c r="J16" s="8" t="n">
        <v>3</v>
      </c>
      <c r="K16" s="8" t="n">
        <v>6</v>
      </c>
      <c r="L16" s="8" t="s">
        <v>709</v>
      </c>
      <c r="M16" s="8" t="n">
        <v>100</v>
      </c>
      <c r="N16" s="8" t="s">
        <v>675</v>
      </c>
      <c r="O16" s="9" t="s">
        <v>710</v>
      </c>
      <c r="P16" s="8" t="s">
        <v>172</v>
      </c>
      <c r="Q16" s="15" t="n">
        <v>12</v>
      </c>
    </row>
    <row r="17" customFormat="false" ht="15" hidden="false" customHeight="true" outlineLevel="0" collapsed="false">
      <c r="A17" s="10" t="s">
        <v>711</v>
      </c>
      <c r="B17" s="8" t="s">
        <v>712</v>
      </c>
      <c r="C17" s="10" t="s">
        <v>669</v>
      </c>
      <c r="D17" s="10" t="s">
        <v>706</v>
      </c>
      <c r="E17" s="8" t="s">
        <v>671</v>
      </c>
      <c r="F17" s="8" t="s">
        <v>707</v>
      </c>
      <c r="G17" s="9" t="s">
        <v>708</v>
      </c>
      <c r="H17" s="10" t="n">
        <v>2</v>
      </c>
      <c r="I17" s="8" t="n">
        <v>3</v>
      </c>
      <c r="J17" s="8" t="n">
        <v>8</v>
      </c>
      <c r="K17" s="8" t="n">
        <v>15</v>
      </c>
      <c r="L17" s="8" t="s">
        <v>709</v>
      </c>
      <c r="M17" s="8" t="n">
        <v>85</v>
      </c>
      <c r="N17" s="8" t="s">
        <v>675</v>
      </c>
      <c r="O17" s="9" t="s">
        <v>710</v>
      </c>
      <c r="P17" s="8" t="s">
        <v>172</v>
      </c>
      <c r="Q17" s="15" t="n">
        <v>13</v>
      </c>
    </row>
    <row r="18" customFormat="false" ht="15" hidden="false" customHeight="true" outlineLevel="0" collapsed="false">
      <c r="A18" s="10" t="s">
        <v>713</v>
      </c>
      <c r="B18" s="8" t="s">
        <v>714</v>
      </c>
      <c r="C18" s="10" t="s">
        <v>669</v>
      </c>
      <c r="D18" s="10" t="s">
        <v>706</v>
      </c>
      <c r="E18" s="8" t="s">
        <v>671</v>
      </c>
      <c r="F18" s="8" t="s">
        <v>707</v>
      </c>
      <c r="G18" s="9" t="s">
        <v>708</v>
      </c>
      <c r="H18" s="10" t="n">
        <v>3</v>
      </c>
      <c r="I18" s="8" t="n">
        <v>5</v>
      </c>
      <c r="J18" s="8" t="n">
        <v>18</v>
      </c>
      <c r="K18" s="8" t="n">
        <v>30</v>
      </c>
      <c r="L18" s="8" t="s">
        <v>709</v>
      </c>
      <c r="M18" s="8" t="n">
        <v>70</v>
      </c>
      <c r="N18" s="8" t="s">
        <v>675</v>
      </c>
      <c r="O18" s="9" t="s">
        <v>710</v>
      </c>
      <c r="P18" s="8" t="s">
        <v>172</v>
      </c>
      <c r="Q18" s="15" t="n">
        <v>14</v>
      </c>
    </row>
    <row r="19" customFormat="false" ht="15" hidden="false" customHeight="true" outlineLevel="0" collapsed="false">
      <c r="A19" s="10" t="s">
        <v>715</v>
      </c>
      <c r="B19" s="8" t="s">
        <v>716</v>
      </c>
      <c r="C19" s="10" t="s">
        <v>669</v>
      </c>
      <c r="D19" s="10" t="s">
        <v>706</v>
      </c>
      <c r="E19" s="8" t="s">
        <v>671</v>
      </c>
      <c r="F19" s="8" t="s">
        <v>707</v>
      </c>
      <c r="G19" s="9" t="s">
        <v>708</v>
      </c>
      <c r="H19" s="10" t="n">
        <v>4</v>
      </c>
      <c r="I19" s="8" t="n">
        <v>7</v>
      </c>
      <c r="J19" s="8" t="n">
        <v>35</v>
      </c>
      <c r="K19" s="8" t="n">
        <v>55</v>
      </c>
      <c r="L19" s="8" t="s">
        <v>709</v>
      </c>
      <c r="M19" s="8" t="n">
        <v>55</v>
      </c>
      <c r="N19" s="8" t="s">
        <v>675</v>
      </c>
      <c r="O19" s="9" t="s">
        <v>710</v>
      </c>
      <c r="P19" s="8" t="s">
        <v>172</v>
      </c>
      <c r="Q19" s="15" t="n">
        <v>15</v>
      </c>
    </row>
    <row r="20" customFormat="false" ht="15" hidden="false" customHeight="true" outlineLevel="0" collapsed="false">
      <c r="A20" s="10" t="s">
        <v>717</v>
      </c>
      <c r="B20" s="8" t="s">
        <v>718</v>
      </c>
      <c r="C20" s="10" t="s">
        <v>669</v>
      </c>
      <c r="D20" s="10" t="s">
        <v>719</v>
      </c>
      <c r="E20" s="8" t="s">
        <v>671</v>
      </c>
      <c r="F20" s="8" t="s">
        <v>707</v>
      </c>
      <c r="G20" s="9" t="s">
        <v>720</v>
      </c>
      <c r="H20" s="10" t="n">
        <v>1</v>
      </c>
      <c r="I20" s="8" t="n">
        <v>1</v>
      </c>
      <c r="J20" s="8" t="n">
        <v>3</v>
      </c>
      <c r="K20" s="8" t="n">
        <v>6</v>
      </c>
      <c r="L20" s="8" t="s">
        <v>709</v>
      </c>
      <c r="M20" s="8" t="n">
        <v>100</v>
      </c>
      <c r="N20" s="8" t="s">
        <v>675</v>
      </c>
      <c r="O20" s="9" t="s">
        <v>721</v>
      </c>
      <c r="P20" s="8" t="s">
        <v>172</v>
      </c>
      <c r="Q20" s="15" t="n">
        <v>16</v>
      </c>
    </row>
    <row r="21" customFormat="false" ht="15" hidden="false" customHeight="true" outlineLevel="0" collapsed="false">
      <c r="A21" s="10" t="s">
        <v>722</v>
      </c>
      <c r="B21" s="8" t="s">
        <v>723</v>
      </c>
      <c r="C21" s="10" t="s">
        <v>669</v>
      </c>
      <c r="D21" s="10" t="s">
        <v>719</v>
      </c>
      <c r="E21" s="8" t="s">
        <v>671</v>
      </c>
      <c r="F21" s="8" t="s">
        <v>707</v>
      </c>
      <c r="G21" s="9" t="s">
        <v>720</v>
      </c>
      <c r="H21" s="10" t="n">
        <v>2</v>
      </c>
      <c r="I21" s="8" t="n">
        <v>3</v>
      </c>
      <c r="J21" s="8" t="n">
        <v>8</v>
      </c>
      <c r="K21" s="8" t="n">
        <v>15</v>
      </c>
      <c r="L21" s="8" t="s">
        <v>709</v>
      </c>
      <c r="M21" s="8" t="n">
        <v>85</v>
      </c>
      <c r="N21" s="8" t="s">
        <v>675</v>
      </c>
      <c r="O21" s="9" t="s">
        <v>721</v>
      </c>
      <c r="P21" s="8" t="s">
        <v>172</v>
      </c>
      <c r="Q21" s="15" t="n">
        <v>17</v>
      </c>
    </row>
    <row r="22" customFormat="false" ht="15" hidden="false" customHeight="true" outlineLevel="0" collapsed="false">
      <c r="A22" s="10" t="s">
        <v>724</v>
      </c>
      <c r="B22" s="8" t="s">
        <v>725</v>
      </c>
      <c r="C22" s="10" t="s">
        <v>669</v>
      </c>
      <c r="D22" s="10" t="s">
        <v>719</v>
      </c>
      <c r="E22" s="8" t="s">
        <v>671</v>
      </c>
      <c r="F22" s="8" t="s">
        <v>707</v>
      </c>
      <c r="G22" s="9" t="s">
        <v>720</v>
      </c>
      <c r="H22" s="10" t="n">
        <v>3</v>
      </c>
      <c r="I22" s="8" t="n">
        <v>5</v>
      </c>
      <c r="J22" s="8" t="n">
        <v>18</v>
      </c>
      <c r="K22" s="8" t="n">
        <v>30</v>
      </c>
      <c r="L22" s="8" t="s">
        <v>709</v>
      </c>
      <c r="M22" s="8" t="n">
        <v>70</v>
      </c>
      <c r="N22" s="8" t="s">
        <v>675</v>
      </c>
      <c r="O22" s="9" t="s">
        <v>721</v>
      </c>
      <c r="P22" s="8" t="s">
        <v>172</v>
      </c>
      <c r="Q22" s="15" t="n">
        <v>18</v>
      </c>
    </row>
    <row r="23" customFormat="false" ht="15" hidden="false" customHeight="true" outlineLevel="0" collapsed="false">
      <c r="A23" s="10" t="s">
        <v>726</v>
      </c>
      <c r="B23" s="8" t="s">
        <v>727</v>
      </c>
      <c r="C23" s="10" t="s">
        <v>669</v>
      </c>
      <c r="D23" s="10" t="s">
        <v>719</v>
      </c>
      <c r="E23" s="8" t="s">
        <v>671</v>
      </c>
      <c r="F23" s="8" t="s">
        <v>707</v>
      </c>
      <c r="G23" s="9" t="s">
        <v>720</v>
      </c>
      <c r="H23" s="10" t="n">
        <v>4</v>
      </c>
      <c r="I23" s="8" t="n">
        <v>7</v>
      </c>
      <c r="J23" s="8" t="n">
        <v>35</v>
      </c>
      <c r="K23" s="8" t="n">
        <v>55</v>
      </c>
      <c r="L23" s="8" t="s">
        <v>709</v>
      </c>
      <c r="M23" s="8" t="n">
        <v>55</v>
      </c>
      <c r="N23" s="8" t="s">
        <v>675</v>
      </c>
      <c r="O23" s="9" t="s">
        <v>721</v>
      </c>
      <c r="P23" s="8" t="s">
        <v>172</v>
      </c>
      <c r="Q23" s="15" t="n">
        <v>19</v>
      </c>
    </row>
    <row r="24" customFormat="false" ht="15" hidden="false" customHeight="true" outlineLevel="0" collapsed="false">
      <c r="A24" s="10" t="s">
        <v>728</v>
      </c>
      <c r="B24" s="8" t="s">
        <v>729</v>
      </c>
      <c r="C24" s="10" t="s">
        <v>669</v>
      </c>
      <c r="D24" s="10" t="s">
        <v>730</v>
      </c>
      <c r="E24" s="8" t="s">
        <v>671</v>
      </c>
      <c r="F24" s="8" t="s">
        <v>707</v>
      </c>
      <c r="G24" s="9" t="s">
        <v>731</v>
      </c>
      <c r="H24" s="10" t="n">
        <v>1</v>
      </c>
      <c r="I24" s="8" t="n">
        <v>1</v>
      </c>
      <c r="J24" s="8" t="n">
        <v>6</v>
      </c>
      <c r="K24" s="8" t="n">
        <v>12</v>
      </c>
      <c r="L24" s="8" t="s">
        <v>709</v>
      </c>
      <c r="M24" s="8" t="n">
        <v>100</v>
      </c>
      <c r="N24" s="8" t="s">
        <v>675</v>
      </c>
      <c r="O24" s="9" t="s">
        <v>732</v>
      </c>
      <c r="P24" s="8" t="s">
        <v>172</v>
      </c>
      <c r="Q24" s="15" t="n">
        <v>20</v>
      </c>
    </row>
    <row r="25" customFormat="false" ht="15" hidden="false" customHeight="true" outlineLevel="0" collapsed="false">
      <c r="A25" s="10" t="s">
        <v>733</v>
      </c>
      <c r="B25" s="8" t="s">
        <v>734</v>
      </c>
      <c r="C25" s="10" t="s">
        <v>669</v>
      </c>
      <c r="D25" s="10" t="s">
        <v>730</v>
      </c>
      <c r="E25" s="8" t="s">
        <v>671</v>
      </c>
      <c r="F25" s="8" t="s">
        <v>707</v>
      </c>
      <c r="G25" s="9" t="s">
        <v>731</v>
      </c>
      <c r="H25" s="10" t="n">
        <v>2</v>
      </c>
      <c r="I25" s="8" t="n">
        <v>3</v>
      </c>
      <c r="J25" s="8" t="n">
        <v>16</v>
      </c>
      <c r="K25" s="8" t="n">
        <v>30</v>
      </c>
      <c r="L25" s="8" t="s">
        <v>709</v>
      </c>
      <c r="M25" s="8" t="n">
        <v>85</v>
      </c>
      <c r="N25" s="8" t="s">
        <v>675</v>
      </c>
      <c r="O25" s="9" t="s">
        <v>732</v>
      </c>
      <c r="P25" s="8" t="s">
        <v>172</v>
      </c>
      <c r="Q25" s="15" t="n">
        <v>21</v>
      </c>
    </row>
    <row r="26" customFormat="false" ht="15" hidden="false" customHeight="true" outlineLevel="0" collapsed="false">
      <c r="A26" s="10" t="s">
        <v>735</v>
      </c>
      <c r="B26" s="8" t="s">
        <v>736</v>
      </c>
      <c r="C26" s="10" t="s">
        <v>669</v>
      </c>
      <c r="D26" s="10" t="s">
        <v>730</v>
      </c>
      <c r="E26" s="8" t="s">
        <v>671</v>
      </c>
      <c r="F26" s="8" t="s">
        <v>707</v>
      </c>
      <c r="G26" s="9" t="s">
        <v>731</v>
      </c>
      <c r="H26" s="10" t="n">
        <v>3</v>
      </c>
      <c r="I26" s="8" t="n">
        <v>5</v>
      </c>
      <c r="J26" s="8" t="n">
        <v>36</v>
      </c>
      <c r="K26" s="8" t="n">
        <v>60</v>
      </c>
      <c r="L26" s="8" t="s">
        <v>709</v>
      </c>
      <c r="M26" s="8" t="n">
        <v>70</v>
      </c>
      <c r="N26" s="8" t="s">
        <v>675</v>
      </c>
      <c r="O26" s="9" t="s">
        <v>732</v>
      </c>
      <c r="P26" s="8" t="s">
        <v>172</v>
      </c>
      <c r="Q26" s="15" t="n">
        <v>22</v>
      </c>
    </row>
    <row r="27" customFormat="false" ht="15" hidden="false" customHeight="true" outlineLevel="0" collapsed="false">
      <c r="A27" s="10" t="s">
        <v>737</v>
      </c>
      <c r="B27" s="8" t="s">
        <v>738</v>
      </c>
      <c r="C27" s="10" t="s">
        <v>669</v>
      </c>
      <c r="D27" s="10" t="s">
        <v>730</v>
      </c>
      <c r="E27" s="8" t="s">
        <v>671</v>
      </c>
      <c r="F27" s="8" t="s">
        <v>707</v>
      </c>
      <c r="G27" s="9" t="s">
        <v>731</v>
      </c>
      <c r="H27" s="10" t="n">
        <v>4</v>
      </c>
      <c r="I27" s="8" t="n">
        <v>7</v>
      </c>
      <c r="J27" s="8" t="n">
        <v>70</v>
      </c>
      <c r="K27" s="8" t="n">
        <v>110</v>
      </c>
      <c r="L27" s="8" t="s">
        <v>709</v>
      </c>
      <c r="M27" s="8" t="n">
        <v>55</v>
      </c>
      <c r="N27" s="8" t="s">
        <v>675</v>
      </c>
      <c r="O27" s="9" t="s">
        <v>732</v>
      </c>
      <c r="P27" s="8" t="s">
        <v>172</v>
      </c>
      <c r="Q27" s="15" t="n">
        <v>23</v>
      </c>
    </row>
    <row r="28" customFormat="false" ht="15" hidden="false" customHeight="true" outlineLevel="0" collapsed="false">
      <c r="A28" s="10" t="s">
        <v>739</v>
      </c>
      <c r="B28" s="8" t="s">
        <v>740</v>
      </c>
      <c r="C28" s="10" t="s">
        <v>669</v>
      </c>
      <c r="D28" s="10" t="s">
        <v>741</v>
      </c>
      <c r="E28" s="8" t="s">
        <v>671</v>
      </c>
      <c r="F28" s="8" t="s">
        <v>707</v>
      </c>
      <c r="G28" s="9" t="s">
        <v>742</v>
      </c>
      <c r="H28" s="10" t="n">
        <v>1</v>
      </c>
      <c r="I28" s="8" t="n">
        <v>1</v>
      </c>
      <c r="J28" s="8" t="n">
        <v>8</v>
      </c>
      <c r="K28" s="8" t="n">
        <v>14</v>
      </c>
      <c r="L28" s="8" t="s">
        <v>709</v>
      </c>
      <c r="M28" s="8" t="n">
        <v>100</v>
      </c>
      <c r="N28" s="8" t="s">
        <v>675</v>
      </c>
      <c r="O28" s="9" t="s">
        <v>743</v>
      </c>
      <c r="P28" s="8" t="s">
        <v>172</v>
      </c>
      <c r="Q28" s="15" t="n">
        <v>24</v>
      </c>
    </row>
    <row r="29" customFormat="false" ht="15" hidden="false" customHeight="true" outlineLevel="0" collapsed="false">
      <c r="A29" s="10" t="s">
        <v>744</v>
      </c>
      <c r="B29" s="8" t="s">
        <v>745</v>
      </c>
      <c r="C29" s="10" t="s">
        <v>669</v>
      </c>
      <c r="D29" s="10" t="s">
        <v>741</v>
      </c>
      <c r="E29" s="8" t="s">
        <v>671</v>
      </c>
      <c r="F29" s="8" t="s">
        <v>707</v>
      </c>
      <c r="G29" s="9" t="s">
        <v>742</v>
      </c>
      <c r="H29" s="10" t="n">
        <v>2</v>
      </c>
      <c r="I29" s="8" t="n">
        <v>3</v>
      </c>
      <c r="J29" s="8" t="n">
        <v>20</v>
      </c>
      <c r="K29" s="8" t="n">
        <v>35</v>
      </c>
      <c r="L29" s="8" t="s">
        <v>709</v>
      </c>
      <c r="M29" s="8" t="n">
        <v>85</v>
      </c>
      <c r="N29" s="8" t="s">
        <v>675</v>
      </c>
      <c r="O29" s="9" t="s">
        <v>743</v>
      </c>
      <c r="P29" s="8" t="s">
        <v>172</v>
      </c>
      <c r="Q29" s="15" t="n">
        <v>25</v>
      </c>
    </row>
    <row r="30" customFormat="false" ht="15" hidden="false" customHeight="true" outlineLevel="0" collapsed="false">
      <c r="A30" s="10" t="s">
        <v>746</v>
      </c>
      <c r="B30" s="8" t="s">
        <v>747</v>
      </c>
      <c r="C30" s="10" t="s">
        <v>669</v>
      </c>
      <c r="D30" s="10" t="s">
        <v>741</v>
      </c>
      <c r="E30" s="8" t="s">
        <v>671</v>
      </c>
      <c r="F30" s="8" t="s">
        <v>707</v>
      </c>
      <c r="G30" s="9" t="s">
        <v>742</v>
      </c>
      <c r="H30" s="10" t="n">
        <v>3</v>
      </c>
      <c r="I30" s="8" t="n">
        <v>5</v>
      </c>
      <c r="J30" s="8" t="n">
        <v>45</v>
      </c>
      <c r="K30" s="8" t="n">
        <v>70</v>
      </c>
      <c r="L30" s="8" t="s">
        <v>709</v>
      </c>
      <c r="M30" s="8" t="n">
        <v>70</v>
      </c>
      <c r="N30" s="8" t="s">
        <v>675</v>
      </c>
      <c r="O30" s="9" t="s">
        <v>743</v>
      </c>
      <c r="P30" s="8" t="s">
        <v>172</v>
      </c>
      <c r="Q30" s="15" t="n">
        <v>26</v>
      </c>
    </row>
    <row r="31" customFormat="false" ht="15" hidden="false" customHeight="true" outlineLevel="0" collapsed="false">
      <c r="A31" s="10" t="s">
        <v>748</v>
      </c>
      <c r="B31" s="8" t="s">
        <v>749</v>
      </c>
      <c r="C31" s="10" t="s">
        <v>669</v>
      </c>
      <c r="D31" s="10" t="s">
        <v>741</v>
      </c>
      <c r="E31" s="8" t="s">
        <v>671</v>
      </c>
      <c r="F31" s="8" t="s">
        <v>707</v>
      </c>
      <c r="G31" s="9" t="s">
        <v>742</v>
      </c>
      <c r="H31" s="10" t="n">
        <v>4</v>
      </c>
      <c r="I31" s="8" t="n">
        <v>7</v>
      </c>
      <c r="J31" s="8" t="n">
        <v>90</v>
      </c>
      <c r="K31" s="8" t="n">
        <v>130</v>
      </c>
      <c r="L31" s="8" t="s">
        <v>709</v>
      </c>
      <c r="M31" s="8" t="n">
        <v>55</v>
      </c>
      <c r="N31" s="8" t="s">
        <v>675</v>
      </c>
      <c r="O31" s="9" t="s">
        <v>743</v>
      </c>
      <c r="P31" s="8" t="s">
        <v>172</v>
      </c>
      <c r="Q31" s="15" t="n">
        <v>27</v>
      </c>
    </row>
    <row r="32" customFormat="false" ht="15" hidden="false" customHeight="true" outlineLevel="0" collapsed="false">
      <c r="A32" s="10" t="s">
        <v>750</v>
      </c>
      <c r="B32" s="8" t="s">
        <v>751</v>
      </c>
      <c r="C32" s="10" t="s">
        <v>669</v>
      </c>
      <c r="D32" s="10" t="s">
        <v>752</v>
      </c>
      <c r="E32" s="8" t="s">
        <v>671</v>
      </c>
      <c r="F32" s="8" t="s">
        <v>707</v>
      </c>
      <c r="G32" s="9" t="s">
        <v>753</v>
      </c>
      <c r="H32" s="10" t="n">
        <v>1</v>
      </c>
      <c r="I32" s="8" t="n">
        <v>2</v>
      </c>
      <c r="J32" s="8" t="n">
        <v>2</v>
      </c>
      <c r="K32" s="8" t="n">
        <v>3</v>
      </c>
      <c r="L32" s="8" t="s">
        <v>674</v>
      </c>
      <c r="M32" s="8" t="n">
        <v>100</v>
      </c>
      <c r="N32" s="8" t="s">
        <v>675</v>
      </c>
      <c r="O32" s="9" t="s">
        <v>754</v>
      </c>
      <c r="P32" s="8" t="s">
        <v>172</v>
      </c>
      <c r="Q32" s="15" t="n">
        <v>28</v>
      </c>
    </row>
    <row r="33" customFormat="false" ht="15" hidden="false" customHeight="true" outlineLevel="0" collapsed="false">
      <c r="A33" s="10" t="s">
        <v>755</v>
      </c>
      <c r="B33" s="8" t="s">
        <v>756</v>
      </c>
      <c r="C33" s="10" t="s">
        <v>669</v>
      </c>
      <c r="D33" s="10" t="s">
        <v>752</v>
      </c>
      <c r="E33" s="8" t="s">
        <v>671</v>
      </c>
      <c r="F33" s="8" t="s">
        <v>707</v>
      </c>
      <c r="G33" s="9" t="s">
        <v>753</v>
      </c>
      <c r="H33" s="10" t="n">
        <v>2</v>
      </c>
      <c r="I33" s="8" t="n">
        <v>5</v>
      </c>
      <c r="J33" s="8" t="n">
        <v>4</v>
      </c>
      <c r="K33" s="8" t="n">
        <v>6</v>
      </c>
      <c r="L33" s="8" t="s">
        <v>674</v>
      </c>
      <c r="M33" s="8" t="n">
        <v>85</v>
      </c>
      <c r="N33" s="8" t="s">
        <v>675</v>
      </c>
      <c r="O33" s="9" t="s">
        <v>754</v>
      </c>
      <c r="P33" s="8" t="s">
        <v>172</v>
      </c>
      <c r="Q33" s="15" t="n">
        <v>29</v>
      </c>
    </row>
    <row r="34" customFormat="false" ht="15" hidden="false" customHeight="true" outlineLevel="0" collapsed="false">
      <c r="A34" s="10" t="s">
        <v>757</v>
      </c>
      <c r="B34" s="8" t="s">
        <v>758</v>
      </c>
      <c r="C34" s="10" t="s">
        <v>669</v>
      </c>
      <c r="D34" s="10" t="s">
        <v>752</v>
      </c>
      <c r="E34" s="8" t="s">
        <v>671</v>
      </c>
      <c r="F34" s="8" t="s">
        <v>707</v>
      </c>
      <c r="G34" s="9" t="s">
        <v>753</v>
      </c>
      <c r="H34" s="10" t="n">
        <v>3</v>
      </c>
      <c r="I34" s="8" t="n">
        <v>8</v>
      </c>
      <c r="J34" s="8" t="n">
        <v>7</v>
      </c>
      <c r="K34" s="8" t="n">
        <v>9</v>
      </c>
      <c r="L34" s="8" t="s">
        <v>674</v>
      </c>
      <c r="M34" s="8" t="n">
        <v>70</v>
      </c>
      <c r="N34" s="8" t="s">
        <v>675</v>
      </c>
      <c r="O34" s="9" t="s">
        <v>754</v>
      </c>
      <c r="P34" s="8" t="s">
        <v>172</v>
      </c>
      <c r="Q34" s="15" t="n">
        <v>30</v>
      </c>
    </row>
    <row r="35" customFormat="false" ht="23.25" hidden="false" customHeight="true" outlineLevel="0" collapsed="false">
      <c r="A35" s="10" t="s">
        <v>759</v>
      </c>
      <c r="B35" s="8" t="s">
        <v>760</v>
      </c>
      <c r="C35" s="10" t="s">
        <v>669</v>
      </c>
      <c r="D35" s="10" t="s">
        <v>761</v>
      </c>
      <c r="E35" s="8" t="s">
        <v>671</v>
      </c>
      <c r="F35" s="8" t="s">
        <v>697</v>
      </c>
      <c r="G35" s="9" t="s">
        <v>762</v>
      </c>
      <c r="H35" s="10" t="n">
        <v>1</v>
      </c>
      <c r="I35" s="8" t="n">
        <v>4</v>
      </c>
      <c r="J35" s="8" t="n">
        <v>3</v>
      </c>
      <c r="K35" s="8" t="n">
        <v>5</v>
      </c>
      <c r="L35" s="8" t="s">
        <v>674</v>
      </c>
      <c r="M35" s="8" t="n">
        <v>100</v>
      </c>
      <c r="N35" s="8" t="s">
        <v>675</v>
      </c>
      <c r="O35" s="9" t="s">
        <v>763</v>
      </c>
      <c r="P35" s="8" t="s">
        <v>172</v>
      </c>
      <c r="Q35" s="15" t="n">
        <v>31</v>
      </c>
    </row>
    <row r="36" customFormat="false" ht="23.25" hidden="false" customHeight="true" outlineLevel="0" collapsed="false">
      <c r="A36" s="10" t="s">
        <v>764</v>
      </c>
      <c r="B36" s="8" t="s">
        <v>765</v>
      </c>
      <c r="C36" s="10" t="s">
        <v>669</v>
      </c>
      <c r="D36" s="10" t="s">
        <v>761</v>
      </c>
      <c r="E36" s="8" t="s">
        <v>671</v>
      </c>
      <c r="F36" s="8" t="s">
        <v>697</v>
      </c>
      <c r="G36" s="9" t="s">
        <v>762</v>
      </c>
      <c r="H36" s="10" t="n">
        <v>2</v>
      </c>
      <c r="I36" s="8" t="n">
        <v>7</v>
      </c>
      <c r="J36" s="8" t="n">
        <v>6</v>
      </c>
      <c r="K36" s="8" t="n">
        <v>10</v>
      </c>
      <c r="L36" s="8" t="s">
        <v>674</v>
      </c>
      <c r="M36" s="8" t="n">
        <v>85</v>
      </c>
      <c r="N36" s="8" t="s">
        <v>675</v>
      </c>
      <c r="O36" s="9" t="s">
        <v>763</v>
      </c>
      <c r="P36" s="8" t="s">
        <v>172</v>
      </c>
      <c r="Q36" s="15" t="n">
        <v>32</v>
      </c>
    </row>
    <row r="37" customFormat="false" ht="15" hidden="false" customHeight="true" outlineLevel="0" collapsed="false">
      <c r="A37" s="10" t="s">
        <v>766</v>
      </c>
      <c r="B37" s="8" t="s">
        <v>767</v>
      </c>
      <c r="C37" s="10" t="s">
        <v>669</v>
      </c>
      <c r="D37" s="10" t="s">
        <v>701</v>
      </c>
      <c r="E37" s="8" t="s">
        <v>671</v>
      </c>
      <c r="F37" s="8" t="s">
        <v>697</v>
      </c>
      <c r="G37" s="9" t="s">
        <v>768</v>
      </c>
      <c r="H37" s="10" t="n">
        <v>1</v>
      </c>
      <c r="I37" s="8" t="n">
        <v>3</v>
      </c>
      <c r="J37" s="8" t="n">
        <v>5</v>
      </c>
      <c r="K37" s="8" t="n">
        <v>10</v>
      </c>
      <c r="L37" s="8" t="s">
        <v>674</v>
      </c>
      <c r="M37" s="8" t="n">
        <v>100</v>
      </c>
      <c r="N37" s="8" t="s">
        <v>675</v>
      </c>
      <c r="O37" s="9" t="s">
        <v>769</v>
      </c>
      <c r="P37" s="8" t="s">
        <v>172</v>
      </c>
      <c r="Q37" s="15" t="n">
        <v>33</v>
      </c>
    </row>
    <row r="38" customFormat="false" ht="15" hidden="false" customHeight="true" outlineLevel="0" collapsed="false">
      <c r="A38" s="10" t="s">
        <v>770</v>
      </c>
      <c r="B38" s="8" t="s">
        <v>771</v>
      </c>
      <c r="C38" s="10" t="s">
        <v>669</v>
      </c>
      <c r="D38" s="10" t="s">
        <v>701</v>
      </c>
      <c r="E38" s="8" t="s">
        <v>671</v>
      </c>
      <c r="F38" s="8" t="s">
        <v>697</v>
      </c>
      <c r="G38" s="9" t="s">
        <v>768</v>
      </c>
      <c r="H38" s="10" t="n">
        <v>2</v>
      </c>
      <c r="I38" s="8" t="n">
        <v>6</v>
      </c>
      <c r="J38" s="8" t="n">
        <v>11</v>
      </c>
      <c r="K38" s="8" t="n">
        <v>20</v>
      </c>
      <c r="L38" s="8" t="s">
        <v>674</v>
      </c>
      <c r="M38" s="8" t="n">
        <v>85</v>
      </c>
      <c r="N38" s="8" t="s">
        <v>675</v>
      </c>
      <c r="O38" s="9" t="s">
        <v>769</v>
      </c>
      <c r="P38" s="8" t="s">
        <v>172</v>
      </c>
      <c r="Q38" s="15" t="n">
        <v>34</v>
      </c>
    </row>
    <row r="39" customFormat="false" ht="15" hidden="false" customHeight="true" outlineLevel="0" collapsed="false">
      <c r="A39" s="10" t="s">
        <v>772</v>
      </c>
      <c r="B39" s="8" t="s">
        <v>773</v>
      </c>
      <c r="C39" s="10" t="s">
        <v>669</v>
      </c>
      <c r="D39" s="10" t="s">
        <v>774</v>
      </c>
      <c r="E39" s="8" t="s">
        <v>671</v>
      </c>
      <c r="F39" s="8" t="s">
        <v>697</v>
      </c>
      <c r="G39" s="9" t="s">
        <v>775</v>
      </c>
      <c r="H39" s="10" t="n">
        <v>1</v>
      </c>
      <c r="I39" s="8" t="n">
        <v>3</v>
      </c>
      <c r="J39" s="8" t="n">
        <v>5</v>
      </c>
      <c r="K39" s="8" t="n">
        <v>10</v>
      </c>
      <c r="L39" s="8" t="s">
        <v>674</v>
      </c>
      <c r="M39" s="8" t="n">
        <v>100</v>
      </c>
      <c r="N39" s="8" t="s">
        <v>675</v>
      </c>
      <c r="O39" s="9" t="s">
        <v>776</v>
      </c>
      <c r="P39" s="8" t="s">
        <v>172</v>
      </c>
      <c r="Q39" s="15" t="n">
        <v>35</v>
      </c>
    </row>
    <row r="40" customFormat="false" ht="15" hidden="false" customHeight="true" outlineLevel="0" collapsed="false">
      <c r="A40" s="10" t="s">
        <v>777</v>
      </c>
      <c r="B40" s="8" t="s">
        <v>778</v>
      </c>
      <c r="C40" s="10" t="s">
        <v>669</v>
      </c>
      <c r="D40" s="10" t="s">
        <v>774</v>
      </c>
      <c r="E40" s="8" t="s">
        <v>671</v>
      </c>
      <c r="F40" s="8" t="s">
        <v>697</v>
      </c>
      <c r="G40" s="9" t="s">
        <v>775</v>
      </c>
      <c r="H40" s="10" t="n">
        <v>2</v>
      </c>
      <c r="I40" s="8" t="n">
        <v>6</v>
      </c>
      <c r="J40" s="8" t="n">
        <v>11</v>
      </c>
      <c r="K40" s="8" t="n">
        <v>20</v>
      </c>
      <c r="L40" s="8" t="s">
        <v>674</v>
      </c>
      <c r="M40" s="8" t="n">
        <v>85</v>
      </c>
      <c r="N40" s="8" t="s">
        <v>675</v>
      </c>
      <c r="O40" s="9" t="s">
        <v>776</v>
      </c>
      <c r="P40" s="8" t="s">
        <v>172</v>
      </c>
      <c r="Q40" s="15" t="n">
        <v>36</v>
      </c>
    </row>
    <row r="41" customFormat="false" ht="15" hidden="false" customHeight="true" outlineLevel="0" collapsed="false">
      <c r="A41" s="10" t="s">
        <v>779</v>
      </c>
      <c r="B41" s="8" t="s">
        <v>780</v>
      </c>
      <c r="C41" s="10" t="s">
        <v>669</v>
      </c>
      <c r="D41" s="10" t="s">
        <v>781</v>
      </c>
      <c r="E41" s="8" t="s">
        <v>105</v>
      </c>
      <c r="F41" s="8" t="s">
        <v>782</v>
      </c>
      <c r="G41" s="9" t="s">
        <v>783</v>
      </c>
      <c r="H41" s="10" t="n">
        <v>1</v>
      </c>
      <c r="I41" s="8" t="n">
        <v>1</v>
      </c>
      <c r="J41" s="8" t="n">
        <v>5</v>
      </c>
      <c r="K41" s="8" t="n">
        <v>10</v>
      </c>
      <c r="L41" s="8" t="s">
        <v>674</v>
      </c>
      <c r="M41" s="8" t="n">
        <v>100</v>
      </c>
      <c r="N41" s="8" t="s">
        <v>675</v>
      </c>
      <c r="O41" s="9" t="s">
        <v>784</v>
      </c>
      <c r="P41" s="8" t="s">
        <v>172</v>
      </c>
      <c r="Q41" s="15" t="n">
        <v>37</v>
      </c>
    </row>
    <row r="42" customFormat="false" ht="15" hidden="false" customHeight="true" outlineLevel="0" collapsed="false">
      <c r="A42" s="10" t="s">
        <v>785</v>
      </c>
      <c r="B42" s="8" t="s">
        <v>786</v>
      </c>
      <c r="C42" s="10" t="s">
        <v>669</v>
      </c>
      <c r="D42" s="10" t="s">
        <v>781</v>
      </c>
      <c r="E42" s="8" t="s">
        <v>105</v>
      </c>
      <c r="F42" s="8" t="s">
        <v>782</v>
      </c>
      <c r="G42" s="9" t="s">
        <v>783</v>
      </c>
      <c r="H42" s="10" t="n">
        <v>2</v>
      </c>
      <c r="I42" s="8" t="n">
        <v>3</v>
      </c>
      <c r="J42" s="8" t="n">
        <v>11</v>
      </c>
      <c r="K42" s="8" t="n">
        <v>20</v>
      </c>
      <c r="L42" s="8" t="s">
        <v>674</v>
      </c>
      <c r="M42" s="8" t="n">
        <v>85</v>
      </c>
      <c r="N42" s="8" t="s">
        <v>675</v>
      </c>
      <c r="O42" s="9" t="s">
        <v>784</v>
      </c>
      <c r="P42" s="8" t="s">
        <v>172</v>
      </c>
      <c r="Q42" s="15" t="n">
        <v>38</v>
      </c>
    </row>
    <row r="43" customFormat="false" ht="15" hidden="false" customHeight="true" outlineLevel="0" collapsed="false">
      <c r="A43" s="10" t="s">
        <v>787</v>
      </c>
      <c r="B43" s="8" t="s">
        <v>788</v>
      </c>
      <c r="C43" s="10" t="s">
        <v>669</v>
      </c>
      <c r="D43" s="10" t="s">
        <v>781</v>
      </c>
      <c r="E43" s="8" t="s">
        <v>105</v>
      </c>
      <c r="F43" s="8" t="s">
        <v>782</v>
      </c>
      <c r="G43" s="9" t="s">
        <v>783</v>
      </c>
      <c r="H43" s="10" t="n">
        <v>3</v>
      </c>
      <c r="I43" s="8" t="n">
        <v>5</v>
      </c>
      <c r="J43" s="8" t="n">
        <v>21</v>
      </c>
      <c r="K43" s="8" t="n">
        <v>30</v>
      </c>
      <c r="L43" s="8" t="s">
        <v>674</v>
      </c>
      <c r="M43" s="8" t="n">
        <v>70</v>
      </c>
      <c r="N43" s="8" t="s">
        <v>675</v>
      </c>
      <c r="O43" s="9" t="s">
        <v>784</v>
      </c>
      <c r="P43" s="8" t="s">
        <v>172</v>
      </c>
      <c r="Q43" s="15" t="n">
        <v>39</v>
      </c>
    </row>
    <row r="44" customFormat="false" ht="15" hidden="false" customHeight="true" outlineLevel="0" collapsed="false">
      <c r="A44" s="10" t="s">
        <v>789</v>
      </c>
      <c r="B44" s="8" t="s">
        <v>790</v>
      </c>
      <c r="C44" s="10" t="s">
        <v>669</v>
      </c>
      <c r="D44" s="10" t="s">
        <v>781</v>
      </c>
      <c r="E44" s="8" t="s">
        <v>105</v>
      </c>
      <c r="F44" s="8" t="s">
        <v>782</v>
      </c>
      <c r="G44" s="9" t="s">
        <v>783</v>
      </c>
      <c r="H44" s="10" t="n">
        <v>4</v>
      </c>
      <c r="I44" s="8" t="n">
        <v>7</v>
      </c>
      <c r="J44" s="8" t="n">
        <v>31</v>
      </c>
      <c r="K44" s="8" t="n">
        <v>40</v>
      </c>
      <c r="L44" s="8" t="s">
        <v>674</v>
      </c>
      <c r="M44" s="8" t="n">
        <v>55</v>
      </c>
      <c r="N44" s="8" t="s">
        <v>675</v>
      </c>
      <c r="O44" s="9" t="s">
        <v>784</v>
      </c>
      <c r="P44" s="8" t="s">
        <v>172</v>
      </c>
      <c r="Q44" s="15" t="n">
        <v>40</v>
      </c>
    </row>
    <row r="45" customFormat="false" ht="15" hidden="false" customHeight="true" outlineLevel="0" collapsed="false">
      <c r="A45" s="10" t="s">
        <v>791</v>
      </c>
      <c r="B45" s="8" t="s">
        <v>792</v>
      </c>
      <c r="C45" s="10" t="s">
        <v>669</v>
      </c>
      <c r="D45" s="10" t="s">
        <v>793</v>
      </c>
      <c r="E45" s="8" t="s">
        <v>105</v>
      </c>
      <c r="F45" s="8" t="s">
        <v>782</v>
      </c>
      <c r="G45" s="9" t="s">
        <v>794</v>
      </c>
      <c r="H45" s="10" t="n">
        <v>1</v>
      </c>
      <c r="I45" s="8" t="n">
        <v>1</v>
      </c>
      <c r="J45" s="8" t="n">
        <v>5</v>
      </c>
      <c r="K45" s="8" t="n">
        <v>10</v>
      </c>
      <c r="L45" s="8" t="s">
        <v>674</v>
      </c>
      <c r="M45" s="8" t="n">
        <v>100</v>
      </c>
      <c r="N45" s="8" t="s">
        <v>675</v>
      </c>
      <c r="O45" s="9" t="s">
        <v>795</v>
      </c>
      <c r="P45" s="8" t="s">
        <v>243</v>
      </c>
      <c r="Q45" s="15" t="n">
        <v>41</v>
      </c>
    </row>
    <row r="46" customFormat="false" ht="15" hidden="false" customHeight="true" outlineLevel="0" collapsed="false">
      <c r="A46" s="10" t="s">
        <v>796</v>
      </c>
      <c r="B46" s="8" t="s">
        <v>797</v>
      </c>
      <c r="C46" s="10" t="s">
        <v>669</v>
      </c>
      <c r="D46" s="10" t="s">
        <v>793</v>
      </c>
      <c r="E46" s="8" t="s">
        <v>105</v>
      </c>
      <c r="F46" s="8" t="s">
        <v>782</v>
      </c>
      <c r="G46" s="9" t="s">
        <v>794</v>
      </c>
      <c r="H46" s="10" t="n">
        <v>2</v>
      </c>
      <c r="I46" s="8" t="n">
        <v>3</v>
      </c>
      <c r="J46" s="8" t="n">
        <v>11</v>
      </c>
      <c r="K46" s="8" t="n">
        <v>18</v>
      </c>
      <c r="L46" s="8" t="s">
        <v>674</v>
      </c>
      <c r="M46" s="8" t="n">
        <v>85</v>
      </c>
      <c r="N46" s="8" t="s">
        <v>675</v>
      </c>
      <c r="O46" s="9" t="s">
        <v>795</v>
      </c>
      <c r="P46" s="8" t="s">
        <v>243</v>
      </c>
      <c r="Q46" s="15" t="n">
        <v>42</v>
      </c>
    </row>
    <row r="47" customFormat="false" ht="15" hidden="false" customHeight="true" outlineLevel="0" collapsed="false">
      <c r="A47" s="10" t="s">
        <v>798</v>
      </c>
      <c r="B47" s="8" t="s">
        <v>799</v>
      </c>
      <c r="C47" s="10" t="s">
        <v>669</v>
      </c>
      <c r="D47" s="10" t="s">
        <v>793</v>
      </c>
      <c r="E47" s="8" t="s">
        <v>105</v>
      </c>
      <c r="F47" s="8" t="s">
        <v>782</v>
      </c>
      <c r="G47" s="9" t="s">
        <v>794</v>
      </c>
      <c r="H47" s="10" t="n">
        <v>3</v>
      </c>
      <c r="I47" s="8" t="n">
        <v>6</v>
      </c>
      <c r="J47" s="8" t="n">
        <v>19</v>
      </c>
      <c r="K47" s="8" t="n">
        <v>26</v>
      </c>
      <c r="L47" s="8" t="s">
        <v>674</v>
      </c>
      <c r="M47" s="8" t="n">
        <v>70</v>
      </c>
      <c r="N47" s="8" t="s">
        <v>675</v>
      </c>
      <c r="O47" s="9" t="s">
        <v>795</v>
      </c>
      <c r="P47" s="8" t="s">
        <v>243</v>
      </c>
      <c r="Q47" s="15" t="n">
        <v>43</v>
      </c>
    </row>
    <row r="48" customFormat="false" ht="15" hidden="false" customHeight="true" outlineLevel="0" collapsed="false">
      <c r="A48" s="10" t="s">
        <v>800</v>
      </c>
      <c r="B48" s="8" t="s">
        <v>801</v>
      </c>
      <c r="C48" s="10" t="s">
        <v>669</v>
      </c>
      <c r="D48" s="10" t="s">
        <v>793</v>
      </c>
      <c r="E48" s="8" t="s">
        <v>105</v>
      </c>
      <c r="F48" s="8" t="s">
        <v>782</v>
      </c>
      <c r="G48" s="9" t="s">
        <v>794</v>
      </c>
      <c r="H48" s="10" t="n">
        <v>4</v>
      </c>
      <c r="I48" s="8" t="n">
        <v>8</v>
      </c>
      <c r="J48" s="8" t="n">
        <v>27</v>
      </c>
      <c r="K48" s="8" t="n">
        <v>35</v>
      </c>
      <c r="L48" s="8" t="s">
        <v>674</v>
      </c>
      <c r="M48" s="8" t="n">
        <v>55</v>
      </c>
      <c r="N48" s="8" t="s">
        <v>675</v>
      </c>
      <c r="O48" s="9" t="s">
        <v>795</v>
      </c>
      <c r="P48" s="8" t="s">
        <v>243</v>
      </c>
      <c r="Q48" s="15" t="n">
        <v>44</v>
      </c>
    </row>
    <row r="49" customFormat="false" ht="15" hidden="false" customHeight="true" outlineLevel="0" collapsed="false">
      <c r="A49" s="10" t="s">
        <v>802</v>
      </c>
      <c r="B49" s="8" t="s">
        <v>803</v>
      </c>
      <c r="C49" s="10" t="s">
        <v>669</v>
      </c>
      <c r="D49" s="10" t="s">
        <v>328</v>
      </c>
      <c r="E49" s="8" t="s">
        <v>105</v>
      </c>
      <c r="F49" s="8" t="s">
        <v>782</v>
      </c>
      <c r="G49" s="9" t="s">
        <v>804</v>
      </c>
      <c r="H49" s="10" t="n">
        <v>1</v>
      </c>
      <c r="I49" s="8" t="n">
        <v>1</v>
      </c>
      <c r="J49" s="8" t="n">
        <v>3</v>
      </c>
      <c r="K49" s="8" t="n">
        <v>8</v>
      </c>
      <c r="L49" s="8" t="s">
        <v>709</v>
      </c>
      <c r="M49" s="8" t="n">
        <v>100</v>
      </c>
      <c r="N49" s="8" t="s">
        <v>675</v>
      </c>
      <c r="O49" s="9" t="s">
        <v>805</v>
      </c>
      <c r="P49" s="8" t="s">
        <v>243</v>
      </c>
      <c r="Q49" s="15" t="n">
        <v>45</v>
      </c>
    </row>
    <row r="50" customFormat="false" ht="15" hidden="false" customHeight="true" outlineLevel="0" collapsed="false">
      <c r="A50" s="10" t="s">
        <v>806</v>
      </c>
      <c r="B50" s="8" t="s">
        <v>807</v>
      </c>
      <c r="C50" s="10" t="s">
        <v>669</v>
      </c>
      <c r="D50" s="10" t="s">
        <v>328</v>
      </c>
      <c r="E50" s="8" t="s">
        <v>105</v>
      </c>
      <c r="F50" s="8" t="s">
        <v>782</v>
      </c>
      <c r="G50" s="9" t="s">
        <v>804</v>
      </c>
      <c r="H50" s="10" t="n">
        <v>2</v>
      </c>
      <c r="I50" s="8" t="n">
        <v>4</v>
      </c>
      <c r="J50" s="8" t="n">
        <v>12</v>
      </c>
      <c r="K50" s="8" t="n">
        <v>25</v>
      </c>
      <c r="L50" s="8" t="s">
        <v>709</v>
      </c>
      <c r="M50" s="8" t="n">
        <v>85</v>
      </c>
      <c r="N50" s="8" t="s">
        <v>675</v>
      </c>
      <c r="O50" s="9" t="s">
        <v>805</v>
      </c>
      <c r="P50" s="8" t="s">
        <v>243</v>
      </c>
      <c r="Q50" s="15" t="n">
        <v>46</v>
      </c>
    </row>
    <row r="51" customFormat="false" ht="15" hidden="false" customHeight="true" outlineLevel="0" collapsed="false">
      <c r="A51" s="10" t="s">
        <v>808</v>
      </c>
      <c r="B51" s="8" t="s">
        <v>809</v>
      </c>
      <c r="C51" s="10" t="s">
        <v>669</v>
      </c>
      <c r="D51" s="10" t="s">
        <v>328</v>
      </c>
      <c r="E51" s="8" t="s">
        <v>105</v>
      </c>
      <c r="F51" s="8" t="s">
        <v>782</v>
      </c>
      <c r="G51" s="9" t="s">
        <v>804</v>
      </c>
      <c r="H51" s="10" t="n">
        <v>3</v>
      </c>
      <c r="I51" s="8" t="n">
        <v>7</v>
      </c>
      <c r="J51" s="8" t="n">
        <v>30</v>
      </c>
      <c r="K51" s="8" t="n">
        <v>50</v>
      </c>
      <c r="L51" s="8" t="s">
        <v>709</v>
      </c>
      <c r="M51" s="8" t="n">
        <v>70</v>
      </c>
      <c r="N51" s="8" t="s">
        <v>675</v>
      </c>
      <c r="O51" s="9" t="s">
        <v>805</v>
      </c>
      <c r="P51" s="8" t="s">
        <v>243</v>
      </c>
      <c r="Q51" s="15" t="n">
        <v>47</v>
      </c>
    </row>
    <row r="52" customFormat="false" ht="15" hidden="false" customHeight="true" outlineLevel="0" collapsed="false">
      <c r="A52" s="10" t="s">
        <v>810</v>
      </c>
      <c r="B52" s="8" t="s">
        <v>811</v>
      </c>
      <c r="C52" s="10" t="s">
        <v>812</v>
      </c>
      <c r="D52" s="10" t="s">
        <v>813</v>
      </c>
      <c r="E52" s="8" t="s">
        <v>813</v>
      </c>
      <c r="F52" s="8" t="s">
        <v>814</v>
      </c>
      <c r="G52" s="9" t="s">
        <v>815</v>
      </c>
      <c r="H52" s="10" t="n">
        <v>1</v>
      </c>
      <c r="I52" s="8" t="n">
        <v>1</v>
      </c>
      <c r="J52" s="8" t="n">
        <v>5</v>
      </c>
      <c r="K52" s="8" t="n">
        <v>10</v>
      </c>
      <c r="L52" s="8" t="s">
        <v>674</v>
      </c>
      <c r="M52" s="8" t="n">
        <v>100</v>
      </c>
      <c r="N52" s="8" t="s">
        <v>675</v>
      </c>
      <c r="O52" s="9" t="s">
        <v>816</v>
      </c>
      <c r="P52" s="8" t="s">
        <v>172</v>
      </c>
      <c r="Q52" s="15" t="n">
        <v>48</v>
      </c>
    </row>
    <row r="53" customFormat="false" ht="15" hidden="false" customHeight="true" outlineLevel="0" collapsed="false">
      <c r="A53" s="10" t="s">
        <v>817</v>
      </c>
      <c r="B53" s="8" t="s">
        <v>818</v>
      </c>
      <c r="C53" s="10" t="s">
        <v>812</v>
      </c>
      <c r="D53" s="10" t="s">
        <v>813</v>
      </c>
      <c r="E53" s="8" t="s">
        <v>813</v>
      </c>
      <c r="F53" s="8" t="s">
        <v>814</v>
      </c>
      <c r="G53" s="9" t="s">
        <v>815</v>
      </c>
      <c r="H53" s="10" t="n">
        <v>2</v>
      </c>
      <c r="I53" s="8" t="n">
        <v>4</v>
      </c>
      <c r="J53" s="8" t="n">
        <v>11</v>
      </c>
      <c r="K53" s="8" t="n">
        <v>15</v>
      </c>
      <c r="L53" s="8" t="s">
        <v>674</v>
      </c>
      <c r="M53" s="8" t="n">
        <v>85</v>
      </c>
      <c r="N53" s="8" t="s">
        <v>675</v>
      </c>
      <c r="O53" s="9" t="s">
        <v>816</v>
      </c>
      <c r="P53" s="8" t="s">
        <v>172</v>
      </c>
      <c r="Q53" s="15" t="n">
        <v>49</v>
      </c>
    </row>
    <row r="54" customFormat="false" ht="15" hidden="false" customHeight="true" outlineLevel="0" collapsed="false">
      <c r="A54" s="10" t="s">
        <v>819</v>
      </c>
      <c r="B54" s="8" t="s">
        <v>820</v>
      </c>
      <c r="C54" s="10" t="s">
        <v>812</v>
      </c>
      <c r="D54" s="10" t="s">
        <v>813</v>
      </c>
      <c r="E54" s="8" t="s">
        <v>813</v>
      </c>
      <c r="F54" s="8" t="s">
        <v>814</v>
      </c>
      <c r="G54" s="9" t="s">
        <v>815</v>
      </c>
      <c r="H54" s="10" t="n">
        <v>3</v>
      </c>
      <c r="I54" s="8" t="n">
        <v>7</v>
      </c>
      <c r="J54" s="8" t="n">
        <v>16</v>
      </c>
      <c r="K54" s="8" t="n">
        <v>20</v>
      </c>
      <c r="L54" s="8" t="s">
        <v>674</v>
      </c>
      <c r="M54" s="8" t="n">
        <v>70</v>
      </c>
      <c r="N54" s="8" t="s">
        <v>675</v>
      </c>
      <c r="O54" s="9" t="s">
        <v>816</v>
      </c>
      <c r="P54" s="8" t="s">
        <v>172</v>
      </c>
      <c r="Q54" s="15" t="n">
        <v>50</v>
      </c>
    </row>
    <row r="55" customFormat="false" ht="15" hidden="false" customHeight="true" outlineLevel="0" collapsed="false">
      <c r="A55" s="10" t="s">
        <v>821</v>
      </c>
      <c r="B55" s="8" t="s">
        <v>822</v>
      </c>
      <c r="C55" s="10" t="s">
        <v>812</v>
      </c>
      <c r="D55" s="10" t="s">
        <v>823</v>
      </c>
      <c r="E55" s="8" t="s">
        <v>813</v>
      </c>
      <c r="F55" s="8" t="s">
        <v>824</v>
      </c>
      <c r="G55" s="9" t="s">
        <v>825</v>
      </c>
      <c r="H55" s="10" t="n">
        <v>1</v>
      </c>
      <c r="I55" s="8" t="n">
        <v>1</v>
      </c>
      <c r="J55" s="8" t="n">
        <v>5</v>
      </c>
      <c r="K55" s="8" t="n">
        <v>10</v>
      </c>
      <c r="L55" s="8" t="s">
        <v>674</v>
      </c>
      <c r="M55" s="8" t="n">
        <v>100</v>
      </c>
      <c r="N55" s="8" t="s">
        <v>675</v>
      </c>
      <c r="O55" s="9" t="s">
        <v>826</v>
      </c>
      <c r="P55" s="8" t="s">
        <v>243</v>
      </c>
      <c r="Q55" s="15" t="n">
        <v>51</v>
      </c>
    </row>
    <row r="56" customFormat="false" ht="15" hidden="false" customHeight="true" outlineLevel="0" collapsed="false">
      <c r="A56" s="10" t="s">
        <v>827</v>
      </c>
      <c r="B56" s="8" t="s">
        <v>828</v>
      </c>
      <c r="C56" s="10" t="s">
        <v>812</v>
      </c>
      <c r="D56" s="10" t="s">
        <v>823</v>
      </c>
      <c r="E56" s="8" t="s">
        <v>813</v>
      </c>
      <c r="F56" s="8" t="s">
        <v>824</v>
      </c>
      <c r="G56" s="9" t="s">
        <v>825</v>
      </c>
      <c r="H56" s="10" t="n">
        <v>2</v>
      </c>
      <c r="I56" s="8" t="n">
        <v>4</v>
      </c>
      <c r="J56" s="8" t="n">
        <v>11</v>
      </c>
      <c r="K56" s="8" t="n">
        <v>15</v>
      </c>
      <c r="L56" s="8" t="s">
        <v>674</v>
      </c>
      <c r="M56" s="8" t="n">
        <v>85</v>
      </c>
      <c r="N56" s="8" t="s">
        <v>675</v>
      </c>
      <c r="O56" s="9" t="s">
        <v>826</v>
      </c>
      <c r="P56" s="8" t="s">
        <v>243</v>
      </c>
      <c r="Q56" s="15" t="n">
        <v>52</v>
      </c>
    </row>
    <row r="57" customFormat="false" ht="15" hidden="false" customHeight="true" outlineLevel="0" collapsed="false">
      <c r="A57" s="10" t="s">
        <v>829</v>
      </c>
      <c r="B57" s="8" t="s">
        <v>830</v>
      </c>
      <c r="C57" s="10" t="s">
        <v>812</v>
      </c>
      <c r="D57" s="10" t="s">
        <v>823</v>
      </c>
      <c r="E57" s="8" t="s">
        <v>813</v>
      </c>
      <c r="F57" s="8" t="s">
        <v>824</v>
      </c>
      <c r="G57" s="9" t="s">
        <v>825</v>
      </c>
      <c r="H57" s="10" t="n">
        <v>3</v>
      </c>
      <c r="I57" s="8" t="n">
        <v>7</v>
      </c>
      <c r="J57" s="8" t="n">
        <v>16</v>
      </c>
      <c r="K57" s="8" t="n">
        <v>20</v>
      </c>
      <c r="L57" s="8" t="s">
        <v>674</v>
      </c>
      <c r="M57" s="8" t="n">
        <v>70</v>
      </c>
      <c r="N57" s="8" t="s">
        <v>675</v>
      </c>
      <c r="O57" s="9" t="s">
        <v>826</v>
      </c>
      <c r="P57" s="8" t="s">
        <v>243</v>
      </c>
      <c r="Q57" s="15" t="n">
        <v>53</v>
      </c>
    </row>
    <row r="58" customFormat="false" ht="15" hidden="false" customHeight="true" outlineLevel="0" collapsed="false">
      <c r="A58" s="10" t="s">
        <v>831</v>
      </c>
      <c r="B58" s="8" t="s">
        <v>832</v>
      </c>
      <c r="C58" s="10" t="s">
        <v>812</v>
      </c>
      <c r="D58" s="10" t="s">
        <v>833</v>
      </c>
      <c r="E58" s="8" t="s">
        <v>813</v>
      </c>
      <c r="F58" s="8" t="s">
        <v>834</v>
      </c>
      <c r="G58" s="9" t="s">
        <v>835</v>
      </c>
      <c r="H58" s="10" t="n">
        <v>1</v>
      </c>
      <c r="I58" s="8" t="n">
        <v>5</v>
      </c>
      <c r="J58" s="8" t="n">
        <v>3</v>
      </c>
      <c r="K58" s="8" t="n">
        <v>5</v>
      </c>
      <c r="L58" s="8" t="s">
        <v>674</v>
      </c>
      <c r="M58" s="8" t="n">
        <v>60</v>
      </c>
      <c r="N58" s="8" t="s">
        <v>675</v>
      </c>
      <c r="O58" s="9" t="s">
        <v>836</v>
      </c>
      <c r="P58" s="8" t="s">
        <v>243</v>
      </c>
      <c r="Q58" s="15" t="n">
        <v>54</v>
      </c>
    </row>
    <row r="59" customFormat="false" ht="15" hidden="false" customHeight="true" outlineLevel="0" collapsed="false">
      <c r="A59" s="10" t="s">
        <v>837</v>
      </c>
      <c r="B59" s="8" t="s">
        <v>838</v>
      </c>
      <c r="C59" s="10" t="s">
        <v>812</v>
      </c>
      <c r="D59" s="10" t="s">
        <v>833</v>
      </c>
      <c r="E59" s="8" t="s">
        <v>813</v>
      </c>
      <c r="F59" s="8" t="s">
        <v>834</v>
      </c>
      <c r="G59" s="9" t="s">
        <v>835</v>
      </c>
      <c r="H59" s="10" t="n">
        <v>2</v>
      </c>
      <c r="I59" s="8" t="n">
        <v>8</v>
      </c>
      <c r="J59" s="8" t="n">
        <v>6</v>
      </c>
      <c r="K59" s="8" t="n">
        <v>8</v>
      </c>
      <c r="L59" s="8" t="s">
        <v>674</v>
      </c>
      <c r="M59" s="8" t="n">
        <v>45</v>
      </c>
      <c r="N59" s="8" t="s">
        <v>675</v>
      </c>
      <c r="O59" s="9" t="s">
        <v>836</v>
      </c>
      <c r="P59" s="8" t="s">
        <v>243</v>
      </c>
      <c r="Q59" s="15" t="n">
        <v>55</v>
      </c>
    </row>
    <row r="60" customFormat="false" ht="15" hidden="false" customHeight="true" outlineLevel="0" collapsed="false">
      <c r="A60" s="10" t="s">
        <v>839</v>
      </c>
      <c r="B60" s="8" t="s">
        <v>840</v>
      </c>
      <c r="C60" s="10" t="s">
        <v>812</v>
      </c>
      <c r="D60" s="10" t="s">
        <v>841</v>
      </c>
      <c r="E60" s="8" t="s">
        <v>105</v>
      </c>
      <c r="F60" s="8" t="s">
        <v>782</v>
      </c>
      <c r="G60" s="9" t="s">
        <v>842</v>
      </c>
      <c r="H60" s="10" t="n">
        <v>1</v>
      </c>
      <c r="I60" s="8" t="n">
        <v>2</v>
      </c>
      <c r="J60" s="8" t="n">
        <v>5</v>
      </c>
      <c r="K60" s="8" t="n">
        <v>10</v>
      </c>
      <c r="L60" s="8" t="s">
        <v>674</v>
      </c>
      <c r="M60" s="8" t="n">
        <v>100</v>
      </c>
      <c r="N60" s="8" t="s">
        <v>675</v>
      </c>
      <c r="O60" s="9" t="s">
        <v>471</v>
      </c>
      <c r="P60" s="8" t="s">
        <v>243</v>
      </c>
      <c r="Q60" s="15" t="n">
        <v>56</v>
      </c>
    </row>
    <row r="61" customFormat="false" ht="15" hidden="false" customHeight="true" outlineLevel="0" collapsed="false">
      <c r="A61" s="10" t="s">
        <v>843</v>
      </c>
      <c r="B61" s="8" t="s">
        <v>844</v>
      </c>
      <c r="C61" s="10" t="s">
        <v>812</v>
      </c>
      <c r="D61" s="10" t="s">
        <v>841</v>
      </c>
      <c r="E61" s="8" t="s">
        <v>105</v>
      </c>
      <c r="F61" s="8" t="s">
        <v>782</v>
      </c>
      <c r="G61" s="9" t="s">
        <v>842</v>
      </c>
      <c r="H61" s="10" t="n">
        <v>2</v>
      </c>
      <c r="I61" s="8" t="n">
        <v>5</v>
      </c>
      <c r="J61" s="8" t="n">
        <v>11</v>
      </c>
      <c r="K61" s="8" t="n">
        <v>20</v>
      </c>
      <c r="L61" s="8" t="s">
        <v>674</v>
      </c>
      <c r="M61" s="8" t="n">
        <v>85</v>
      </c>
      <c r="N61" s="8" t="s">
        <v>675</v>
      </c>
      <c r="O61" s="9" t="s">
        <v>471</v>
      </c>
      <c r="P61" s="8" t="s">
        <v>243</v>
      </c>
      <c r="Q61" s="15" t="n">
        <v>57</v>
      </c>
    </row>
    <row r="62" customFormat="false" ht="15" hidden="false" customHeight="true" outlineLevel="0" collapsed="false">
      <c r="A62" s="10" t="s">
        <v>845</v>
      </c>
      <c r="B62" s="8" t="s">
        <v>846</v>
      </c>
      <c r="C62" s="10" t="s">
        <v>812</v>
      </c>
      <c r="D62" s="10" t="s">
        <v>841</v>
      </c>
      <c r="E62" s="8" t="s">
        <v>105</v>
      </c>
      <c r="F62" s="8" t="s">
        <v>782</v>
      </c>
      <c r="G62" s="9" t="s">
        <v>842</v>
      </c>
      <c r="H62" s="10" t="n">
        <v>3</v>
      </c>
      <c r="I62" s="8" t="n">
        <v>8</v>
      </c>
      <c r="J62" s="8" t="n">
        <v>21</v>
      </c>
      <c r="K62" s="8" t="n">
        <v>30</v>
      </c>
      <c r="L62" s="8" t="s">
        <v>674</v>
      </c>
      <c r="M62" s="8" t="n">
        <v>70</v>
      </c>
      <c r="N62" s="8" t="s">
        <v>675</v>
      </c>
      <c r="O62" s="9" t="s">
        <v>471</v>
      </c>
      <c r="P62" s="8" t="s">
        <v>243</v>
      </c>
      <c r="Q62" s="15" t="n">
        <v>58</v>
      </c>
    </row>
    <row r="63" customFormat="false" ht="15" hidden="false" customHeight="true" outlineLevel="0" collapsed="false">
      <c r="A63" s="10" t="s">
        <v>847</v>
      </c>
      <c r="B63" s="8" t="s">
        <v>848</v>
      </c>
      <c r="C63" s="10" t="s">
        <v>812</v>
      </c>
      <c r="D63" s="10" t="s">
        <v>849</v>
      </c>
      <c r="E63" s="8" t="s">
        <v>105</v>
      </c>
      <c r="F63" s="8" t="s">
        <v>782</v>
      </c>
      <c r="G63" s="9" t="s">
        <v>850</v>
      </c>
      <c r="H63" s="10" t="n">
        <v>1</v>
      </c>
      <c r="I63" s="8" t="n">
        <v>1</v>
      </c>
      <c r="J63" s="8" t="n">
        <v>5</v>
      </c>
      <c r="K63" s="8" t="n">
        <v>15</v>
      </c>
      <c r="L63" s="8" t="s">
        <v>793</v>
      </c>
      <c r="M63" s="8" t="n">
        <v>100</v>
      </c>
      <c r="N63" s="8" t="s">
        <v>675</v>
      </c>
      <c r="O63" s="9" t="s">
        <v>851</v>
      </c>
      <c r="P63" s="8" t="s">
        <v>243</v>
      </c>
      <c r="Q63" s="15" t="n">
        <v>59</v>
      </c>
    </row>
    <row r="64" customFormat="false" ht="15" hidden="false" customHeight="true" outlineLevel="0" collapsed="false">
      <c r="A64" s="10" t="s">
        <v>852</v>
      </c>
      <c r="B64" s="8" t="s">
        <v>853</v>
      </c>
      <c r="C64" s="10" t="s">
        <v>812</v>
      </c>
      <c r="D64" s="10" t="s">
        <v>849</v>
      </c>
      <c r="E64" s="8" t="s">
        <v>105</v>
      </c>
      <c r="F64" s="8" t="s">
        <v>782</v>
      </c>
      <c r="G64" s="9" t="s">
        <v>850</v>
      </c>
      <c r="H64" s="10" t="n">
        <v>2</v>
      </c>
      <c r="I64" s="8" t="n">
        <v>4</v>
      </c>
      <c r="J64" s="8" t="n">
        <v>20</v>
      </c>
      <c r="K64" s="8" t="n">
        <v>45</v>
      </c>
      <c r="L64" s="8" t="s">
        <v>793</v>
      </c>
      <c r="M64" s="8" t="n">
        <v>85</v>
      </c>
      <c r="N64" s="8" t="s">
        <v>675</v>
      </c>
      <c r="O64" s="9" t="s">
        <v>851</v>
      </c>
      <c r="P64" s="8" t="s">
        <v>243</v>
      </c>
      <c r="Q64" s="15" t="n">
        <v>60</v>
      </c>
    </row>
    <row r="65" customFormat="false" ht="15" hidden="false" customHeight="true" outlineLevel="0" collapsed="false">
      <c r="A65" s="10" t="s">
        <v>854</v>
      </c>
      <c r="B65" s="8" t="s">
        <v>855</v>
      </c>
      <c r="C65" s="10" t="s">
        <v>812</v>
      </c>
      <c r="D65" s="10" t="s">
        <v>849</v>
      </c>
      <c r="E65" s="8" t="s">
        <v>105</v>
      </c>
      <c r="F65" s="8" t="s">
        <v>782</v>
      </c>
      <c r="G65" s="9" t="s">
        <v>850</v>
      </c>
      <c r="H65" s="10" t="n">
        <v>3</v>
      </c>
      <c r="I65" s="8" t="n">
        <v>7</v>
      </c>
      <c r="J65" s="8" t="n">
        <v>50</v>
      </c>
      <c r="K65" s="8" t="n">
        <v>90</v>
      </c>
      <c r="L65" s="8" t="s">
        <v>793</v>
      </c>
      <c r="M65" s="8" t="n">
        <v>70</v>
      </c>
      <c r="N65" s="8" t="s">
        <v>675</v>
      </c>
      <c r="O65" s="9" t="s">
        <v>851</v>
      </c>
      <c r="P65" s="8" t="s">
        <v>243</v>
      </c>
      <c r="Q65" s="15" t="n">
        <v>61</v>
      </c>
    </row>
    <row r="66" customFormat="false" ht="15" hidden="false" customHeight="true" outlineLevel="0" collapsed="false">
      <c r="A66" s="10" t="s">
        <v>856</v>
      </c>
      <c r="B66" s="8" t="s">
        <v>857</v>
      </c>
      <c r="C66" s="10" t="s">
        <v>812</v>
      </c>
      <c r="D66" s="10" t="s">
        <v>858</v>
      </c>
      <c r="E66" s="8" t="s">
        <v>105</v>
      </c>
      <c r="F66" s="8" t="s">
        <v>782</v>
      </c>
      <c r="G66" s="9" t="s">
        <v>859</v>
      </c>
      <c r="H66" s="10" t="n">
        <v>1</v>
      </c>
      <c r="I66" s="8" t="n">
        <v>3</v>
      </c>
      <c r="J66" s="8" t="n">
        <v>5</v>
      </c>
      <c r="K66" s="8" t="n">
        <v>10</v>
      </c>
      <c r="L66" s="8" t="s">
        <v>674</v>
      </c>
      <c r="M66" s="8" t="n">
        <v>100</v>
      </c>
      <c r="N66" s="8" t="s">
        <v>675</v>
      </c>
      <c r="O66" s="9" t="s">
        <v>860</v>
      </c>
      <c r="P66" s="8" t="s">
        <v>243</v>
      </c>
      <c r="Q66" s="15" t="n">
        <v>62</v>
      </c>
    </row>
    <row r="67" customFormat="false" ht="15" hidden="false" customHeight="true" outlineLevel="0" collapsed="false">
      <c r="A67" s="10" t="s">
        <v>861</v>
      </c>
      <c r="B67" s="8" t="s">
        <v>862</v>
      </c>
      <c r="C67" s="10" t="s">
        <v>812</v>
      </c>
      <c r="D67" s="10" t="s">
        <v>858</v>
      </c>
      <c r="E67" s="8" t="s">
        <v>105</v>
      </c>
      <c r="F67" s="8" t="s">
        <v>782</v>
      </c>
      <c r="G67" s="9" t="s">
        <v>859</v>
      </c>
      <c r="H67" s="10" t="n">
        <v>2</v>
      </c>
      <c r="I67" s="8" t="n">
        <v>6</v>
      </c>
      <c r="J67" s="8" t="n">
        <v>11</v>
      </c>
      <c r="K67" s="8" t="n">
        <v>20</v>
      </c>
      <c r="L67" s="8" t="s">
        <v>674</v>
      </c>
      <c r="M67" s="8" t="n">
        <v>85</v>
      </c>
      <c r="N67" s="8" t="s">
        <v>675</v>
      </c>
      <c r="O67" s="9" t="s">
        <v>860</v>
      </c>
      <c r="P67" s="8" t="s">
        <v>243</v>
      </c>
      <c r="Q67" s="15" t="n">
        <v>63</v>
      </c>
    </row>
    <row r="68" customFormat="false" ht="15" hidden="false" customHeight="true" outlineLevel="0" collapsed="false">
      <c r="A68" s="10" t="s">
        <v>863</v>
      </c>
      <c r="B68" s="8" t="s">
        <v>864</v>
      </c>
      <c r="C68" s="10" t="s">
        <v>812</v>
      </c>
      <c r="D68" s="10" t="s">
        <v>865</v>
      </c>
      <c r="E68" s="8" t="s">
        <v>136</v>
      </c>
      <c r="F68" s="8" t="s">
        <v>834</v>
      </c>
      <c r="G68" s="9" t="s">
        <v>866</v>
      </c>
      <c r="H68" s="10" t="n">
        <v>1</v>
      </c>
      <c r="I68" s="8" t="n">
        <v>4</v>
      </c>
      <c r="J68" s="8" t="n">
        <v>1</v>
      </c>
      <c r="K68" s="8" t="n">
        <v>1</v>
      </c>
      <c r="L68" s="8" t="s">
        <v>34</v>
      </c>
      <c r="M68" s="8" t="n">
        <v>40</v>
      </c>
      <c r="N68" s="8" t="s">
        <v>104</v>
      </c>
      <c r="O68" s="9" t="s">
        <v>867</v>
      </c>
      <c r="P68" s="8" t="s">
        <v>172</v>
      </c>
      <c r="Q68" s="15" t="n">
        <v>64</v>
      </c>
    </row>
    <row r="69" customFormat="false" ht="15" hidden="false" customHeight="true" outlineLevel="0" collapsed="false">
      <c r="A69" s="10" t="s">
        <v>868</v>
      </c>
      <c r="B69" s="8" t="s">
        <v>869</v>
      </c>
      <c r="C69" s="10" t="s">
        <v>812</v>
      </c>
      <c r="D69" s="10" t="s">
        <v>865</v>
      </c>
      <c r="E69" s="8" t="s">
        <v>136</v>
      </c>
      <c r="F69" s="8" t="s">
        <v>834</v>
      </c>
      <c r="G69" s="9" t="s">
        <v>866</v>
      </c>
      <c r="H69" s="10" t="n">
        <v>2</v>
      </c>
      <c r="I69" s="8" t="n">
        <v>8</v>
      </c>
      <c r="J69" s="8" t="n">
        <v>2</v>
      </c>
      <c r="K69" s="8" t="n">
        <v>2</v>
      </c>
      <c r="L69" s="8" t="s">
        <v>34</v>
      </c>
      <c r="M69" s="8" t="n">
        <v>25</v>
      </c>
      <c r="N69" s="8" t="s">
        <v>104</v>
      </c>
      <c r="O69" s="9" t="s">
        <v>867</v>
      </c>
      <c r="P69" s="8" t="s">
        <v>172</v>
      </c>
      <c r="Q69" s="15" t="n">
        <v>65</v>
      </c>
    </row>
    <row r="70" customFormat="false" ht="15" hidden="false" customHeight="true" outlineLevel="0" collapsed="false">
      <c r="A70" s="10" t="s">
        <v>870</v>
      </c>
      <c r="B70" s="8" t="s">
        <v>871</v>
      </c>
      <c r="C70" s="10" t="s">
        <v>812</v>
      </c>
      <c r="D70" s="10" t="s">
        <v>872</v>
      </c>
      <c r="E70" s="8" t="s">
        <v>136</v>
      </c>
      <c r="F70" s="8" t="s">
        <v>834</v>
      </c>
      <c r="G70" s="9" t="s">
        <v>873</v>
      </c>
      <c r="H70" s="10" t="n">
        <v>1</v>
      </c>
      <c r="I70" s="8" t="n">
        <v>4</v>
      </c>
      <c r="J70" s="8" t="n">
        <v>1</v>
      </c>
      <c r="K70" s="8" t="n">
        <v>1</v>
      </c>
      <c r="L70" s="8" t="s">
        <v>34</v>
      </c>
      <c r="M70" s="8" t="n">
        <v>40</v>
      </c>
      <c r="N70" s="8" t="s">
        <v>112</v>
      </c>
      <c r="O70" s="9" t="s">
        <v>874</v>
      </c>
      <c r="P70" s="8" t="s">
        <v>172</v>
      </c>
      <c r="Q70" s="15" t="n">
        <v>66</v>
      </c>
    </row>
    <row r="71" customFormat="false" ht="15" hidden="false" customHeight="true" outlineLevel="0" collapsed="false">
      <c r="A71" s="10" t="s">
        <v>875</v>
      </c>
      <c r="B71" s="8" t="s">
        <v>876</v>
      </c>
      <c r="C71" s="10" t="s">
        <v>812</v>
      </c>
      <c r="D71" s="10" t="s">
        <v>872</v>
      </c>
      <c r="E71" s="8" t="s">
        <v>136</v>
      </c>
      <c r="F71" s="8" t="s">
        <v>834</v>
      </c>
      <c r="G71" s="9" t="s">
        <v>873</v>
      </c>
      <c r="H71" s="10" t="n">
        <v>2</v>
      </c>
      <c r="I71" s="8" t="n">
        <v>8</v>
      </c>
      <c r="J71" s="8" t="n">
        <v>2</v>
      </c>
      <c r="K71" s="8" t="n">
        <v>2</v>
      </c>
      <c r="L71" s="8" t="s">
        <v>34</v>
      </c>
      <c r="M71" s="8" t="n">
        <v>25</v>
      </c>
      <c r="N71" s="8" t="s">
        <v>112</v>
      </c>
      <c r="O71" s="9" t="s">
        <v>874</v>
      </c>
      <c r="P71" s="8" t="s">
        <v>172</v>
      </c>
      <c r="Q71" s="15" t="n">
        <v>67</v>
      </c>
    </row>
    <row r="72" customFormat="false" ht="15" hidden="false" customHeight="true" outlineLevel="0" collapsed="false">
      <c r="A72" s="10" t="s">
        <v>877</v>
      </c>
      <c r="B72" s="8" t="s">
        <v>878</v>
      </c>
      <c r="C72" s="10" t="s">
        <v>812</v>
      </c>
      <c r="D72" s="10" t="s">
        <v>879</v>
      </c>
      <c r="E72" s="8" t="s">
        <v>136</v>
      </c>
      <c r="F72" s="8" t="s">
        <v>834</v>
      </c>
      <c r="G72" s="9" t="s">
        <v>880</v>
      </c>
      <c r="H72" s="10" t="n">
        <v>1</v>
      </c>
      <c r="I72" s="8" t="n">
        <v>4</v>
      </c>
      <c r="J72" s="8" t="n">
        <v>1</v>
      </c>
      <c r="K72" s="8" t="n">
        <v>1</v>
      </c>
      <c r="L72" s="8" t="s">
        <v>34</v>
      </c>
      <c r="M72" s="8" t="n">
        <v>40</v>
      </c>
      <c r="N72" s="8" t="s">
        <v>120</v>
      </c>
      <c r="O72" s="9" t="s">
        <v>874</v>
      </c>
      <c r="P72" s="8" t="s">
        <v>172</v>
      </c>
      <c r="Q72" s="15" t="n">
        <v>68</v>
      </c>
    </row>
    <row r="73" customFormat="false" ht="15" hidden="false" customHeight="true" outlineLevel="0" collapsed="false">
      <c r="A73" s="10" t="s">
        <v>881</v>
      </c>
      <c r="B73" s="8" t="s">
        <v>882</v>
      </c>
      <c r="C73" s="10" t="s">
        <v>812</v>
      </c>
      <c r="D73" s="10" t="s">
        <v>879</v>
      </c>
      <c r="E73" s="8" t="s">
        <v>136</v>
      </c>
      <c r="F73" s="8" t="s">
        <v>834</v>
      </c>
      <c r="G73" s="9" t="s">
        <v>880</v>
      </c>
      <c r="H73" s="10" t="n">
        <v>2</v>
      </c>
      <c r="I73" s="8" t="n">
        <v>8</v>
      </c>
      <c r="J73" s="8" t="n">
        <v>2</v>
      </c>
      <c r="K73" s="8" t="n">
        <v>2</v>
      </c>
      <c r="L73" s="8" t="s">
        <v>34</v>
      </c>
      <c r="M73" s="8" t="n">
        <v>25</v>
      </c>
      <c r="N73" s="8" t="s">
        <v>120</v>
      </c>
      <c r="O73" s="9" t="s">
        <v>874</v>
      </c>
      <c r="P73" s="8" t="s">
        <v>172</v>
      </c>
      <c r="Q73" s="15" t="n">
        <v>69</v>
      </c>
    </row>
    <row r="74" customFormat="false" ht="15" hidden="false" customHeight="true" outlineLevel="0" collapsed="false">
      <c r="A74" s="10" t="s">
        <v>883</v>
      </c>
      <c r="B74" s="8" t="s">
        <v>884</v>
      </c>
      <c r="C74" s="10" t="s">
        <v>812</v>
      </c>
      <c r="D74" s="10" t="s">
        <v>885</v>
      </c>
      <c r="E74" s="8" t="s">
        <v>136</v>
      </c>
      <c r="F74" s="8" t="s">
        <v>834</v>
      </c>
      <c r="G74" s="9" t="s">
        <v>886</v>
      </c>
      <c r="H74" s="10" t="n">
        <v>1</v>
      </c>
      <c r="I74" s="8" t="n">
        <v>4</v>
      </c>
      <c r="J74" s="8" t="n">
        <v>1</v>
      </c>
      <c r="K74" s="8" t="n">
        <v>1</v>
      </c>
      <c r="L74" s="8" t="s">
        <v>34</v>
      </c>
      <c r="M74" s="8" t="n">
        <v>40</v>
      </c>
      <c r="N74" s="8" t="s">
        <v>128</v>
      </c>
      <c r="O74" s="9" t="s">
        <v>874</v>
      </c>
      <c r="P74" s="8" t="s">
        <v>172</v>
      </c>
      <c r="Q74" s="15" t="n">
        <v>70</v>
      </c>
    </row>
    <row r="75" customFormat="false" ht="15" hidden="false" customHeight="true" outlineLevel="0" collapsed="false">
      <c r="A75" s="10" t="s">
        <v>887</v>
      </c>
      <c r="B75" s="8" t="s">
        <v>888</v>
      </c>
      <c r="C75" s="10" t="s">
        <v>812</v>
      </c>
      <c r="D75" s="10" t="s">
        <v>885</v>
      </c>
      <c r="E75" s="8" t="s">
        <v>136</v>
      </c>
      <c r="F75" s="8" t="s">
        <v>834</v>
      </c>
      <c r="G75" s="9" t="s">
        <v>886</v>
      </c>
      <c r="H75" s="10" t="n">
        <v>2</v>
      </c>
      <c r="I75" s="8" t="n">
        <v>8</v>
      </c>
      <c r="J75" s="8" t="n">
        <v>2</v>
      </c>
      <c r="K75" s="8" t="n">
        <v>2</v>
      </c>
      <c r="L75" s="8" t="s">
        <v>34</v>
      </c>
      <c r="M75" s="8" t="n">
        <v>25</v>
      </c>
      <c r="N75" s="8" t="s">
        <v>128</v>
      </c>
      <c r="O75" s="9" t="s">
        <v>874</v>
      </c>
      <c r="P75" s="8" t="s">
        <v>172</v>
      </c>
      <c r="Q75" s="15" t="n">
        <v>71</v>
      </c>
    </row>
    <row r="76" customFormat="false" ht="15" hidden="false" customHeight="true" outlineLevel="0" collapsed="false">
      <c r="A76" s="10" t="s">
        <v>889</v>
      </c>
      <c r="B76" s="8" t="s">
        <v>890</v>
      </c>
      <c r="C76" s="10" t="s">
        <v>812</v>
      </c>
      <c r="D76" s="10" t="s">
        <v>891</v>
      </c>
      <c r="E76" s="8" t="s">
        <v>136</v>
      </c>
      <c r="F76" s="8" t="s">
        <v>834</v>
      </c>
      <c r="G76" s="9" t="s">
        <v>892</v>
      </c>
      <c r="H76" s="10" t="n">
        <v>1</v>
      </c>
      <c r="I76" s="8" t="n">
        <v>2</v>
      </c>
      <c r="J76" s="8" t="n">
        <v>1</v>
      </c>
      <c r="K76" s="8" t="n">
        <v>1</v>
      </c>
      <c r="L76" s="8" t="s">
        <v>34</v>
      </c>
      <c r="M76" s="8" t="n">
        <v>60</v>
      </c>
      <c r="N76" s="8" t="s">
        <v>675</v>
      </c>
      <c r="O76" s="9" t="s">
        <v>893</v>
      </c>
      <c r="P76" s="8" t="s">
        <v>243</v>
      </c>
      <c r="Q76" s="15" t="n">
        <v>72</v>
      </c>
    </row>
    <row r="77" customFormat="false" ht="15" hidden="false" customHeight="true" outlineLevel="0" collapsed="false">
      <c r="A77" s="10" t="s">
        <v>894</v>
      </c>
      <c r="B77" s="8" t="s">
        <v>895</v>
      </c>
      <c r="C77" s="10" t="s">
        <v>812</v>
      </c>
      <c r="D77" s="10" t="s">
        <v>891</v>
      </c>
      <c r="E77" s="8" t="s">
        <v>136</v>
      </c>
      <c r="F77" s="8" t="s">
        <v>834</v>
      </c>
      <c r="G77" s="9" t="s">
        <v>892</v>
      </c>
      <c r="H77" s="10" t="n">
        <v>2</v>
      </c>
      <c r="I77" s="8" t="n">
        <v>5</v>
      </c>
      <c r="J77" s="8" t="n">
        <v>1</v>
      </c>
      <c r="K77" s="8" t="n">
        <v>2</v>
      </c>
      <c r="L77" s="8" t="s">
        <v>34</v>
      </c>
      <c r="M77" s="8" t="n">
        <v>45</v>
      </c>
      <c r="N77" s="8" t="s">
        <v>675</v>
      </c>
      <c r="O77" s="9" t="s">
        <v>893</v>
      </c>
      <c r="P77" s="8" t="s">
        <v>243</v>
      </c>
      <c r="Q77" s="15" t="n">
        <v>73</v>
      </c>
    </row>
    <row r="78" customFormat="false" ht="15" hidden="false" customHeight="true" outlineLevel="0" collapsed="false">
      <c r="A78" s="10" t="s">
        <v>896</v>
      </c>
      <c r="B78" s="8" t="s">
        <v>897</v>
      </c>
      <c r="C78" s="10" t="s">
        <v>812</v>
      </c>
      <c r="D78" s="10" t="s">
        <v>891</v>
      </c>
      <c r="E78" s="8" t="s">
        <v>136</v>
      </c>
      <c r="F78" s="8" t="s">
        <v>834</v>
      </c>
      <c r="G78" s="9" t="s">
        <v>892</v>
      </c>
      <c r="H78" s="10" t="n">
        <v>3</v>
      </c>
      <c r="I78" s="8" t="n">
        <v>8</v>
      </c>
      <c r="J78" s="8" t="n">
        <v>2</v>
      </c>
      <c r="K78" s="8" t="n">
        <v>3</v>
      </c>
      <c r="L78" s="8" t="s">
        <v>34</v>
      </c>
      <c r="M78" s="8" t="n">
        <v>30</v>
      </c>
      <c r="N78" s="8" t="s">
        <v>675</v>
      </c>
      <c r="O78" s="9" t="s">
        <v>893</v>
      </c>
      <c r="P78" s="8" t="s">
        <v>243</v>
      </c>
      <c r="Q78" s="15" t="n">
        <v>74</v>
      </c>
    </row>
    <row r="79" customFormat="false" ht="15" hidden="false" customHeight="true" outlineLevel="0" collapsed="false">
      <c r="A79" s="10" t="s">
        <v>898</v>
      </c>
      <c r="B79" s="8" t="s">
        <v>899</v>
      </c>
      <c r="C79" s="10" t="s">
        <v>812</v>
      </c>
      <c r="D79" s="10" t="s">
        <v>900</v>
      </c>
      <c r="E79" s="8" t="s">
        <v>136</v>
      </c>
      <c r="F79" s="8" t="s">
        <v>824</v>
      </c>
      <c r="G79" s="9" t="s">
        <v>901</v>
      </c>
      <c r="H79" s="10" t="n">
        <v>1</v>
      </c>
      <c r="I79" s="8" t="n">
        <v>3</v>
      </c>
      <c r="J79" s="8" t="n">
        <v>5</v>
      </c>
      <c r="K79" s="8" t="n">
        <v>8</v>
      </c>
      <c r="L79" s="8" t="s">
        <v>674</v>
      </c>
      <c r="M79" s="8" t="n">
        <v>70</v>
      </c>
      <c r="N79" s="8" t="s">
        <v>675</v>
      </c>
      <c r="O79" s="9" t="s">
        <v>902</v>
      </c>
      <c r="P79" s="8" t="s">
        <v>172</v>
      </c>
      <c r="Q79" s="15" t="n">
        <v>75</v>
      </c>
    </row>
    <row r="80" customFormat="false" ht="15" hidden="false" customHeight="true" outlineLevel="0" collapsed="false">
      <c r="A80" s="10" t="s">
        <v>903</v>
      </c>
      <c r="B80" s="8" t="s">
        <v>904</v>
      </c>
      <c r="C80" s="10" t="s">
        <v>812</v>
      </c>
      <c r="D80" s="10" t="s">
        <v>900</v>
      </c>
      <c r="E80" s="8" t="s">
        <v>136</v>
      </c>
      <c r="F80" s="8" t="s">
        <v>824</v>
      </c>
      <c r="G80" s="9" t="s">
        <v>901</v>
      </c>
      <c r="H80" s="10" t="n">
        <v>2</v>
      </c>
      <c r="I80" s="8" t="n">
        <v>6</v>
      </c>
      <c r="J80" s="8" t="n">
        <v>9</v>
      </c>
      <c r="K80" s="8" t="n">
        <v>12</v>
      </c>
      <c r="L80" s="8" t="s">
        <v>674</v>
      </c>
      <c r="M80" s="8" t="n">
        <v>55</v>
      </c>
      <c r="N80" s="8" t="s">
        <v>675</v>
      </c>
      <c r="O80" s="9" t="s">
        <v>902</v>
      </c>
      <c r="P80" s="8" t="s">
        <v>172</v>
      </c>
      <c r="Q80" s="15" t="n">
        <v>76</v>
      </c>
    </row>
    <row r="81" customFormat="false" ht="15" hidden="false" customHeight="true" outlineLevel="0" collapsed="false">
      <c r="A81" s="10" t="s">
        <v>905</v>
      </c>
      <c r="B81" s="8" t="s">
        <v>906</v>
      </c>
      <c r="C81" s="10" t="s">
        <v>812</v>
      </c>
      <c r="D81" s="10" t="s">
        <v>900</v>
      </c>
      <c r="E81" s="8" t="s">
        <v>136</v>
      </c>
      <c r="F81" s="8" t="s">
        <v>824</v>
      </c>
      <c r="G81" s="9" t="s">
        <v>901</v>
      </c>
      <c r="H81" s="10" t="n">
        <v>3</v>
      </c>
      <c r="I81" s="8" t="n">
        <v>9</v>
      </c>
      <c r="J81" s="8" t="n">
        <v>13</v>
      </c>
      <c r="K81" s="8" t="n">
        <v>15</v>
      </c>
      <c r="L81" s="8" t="s">
        <v>674</v>
      </c>
      <c r="M81" s="8" t="n">
        <v>40</v>
      </c>
      <c r="N81" s="8" t="s">
        <v>675</v>
      </c>
      <c r="O81" s="9" t="s">
        <v>902</v>
      </c>
      <c r="P81" s="8" t="s">
        <v>172</v>
      </c>
      <c r="Q81" s="15" t="n">
        <v>77</v>
      </c>
    </row>
    <row r="82" customFormat="false" ht="15" hidden="false" customHeight="true" outlineLevel="0" collapsed="false">
      <c r="A82" s="10" t="s">
        <v>907</v>
      </c>
      <c r="B82" s="8" t="s">
        <v>908</v>
      </c>
      <c r="C82" s="10" t="s">
        <v>812</v>
      </c>
      <c r="D82" s="10" t="s">
        <v>909</v>
      </c>
      <c r="E82" s="8" t="s">
        <v>910</v>
      </c>
      <c r="F82" s="8" t="s">
        <v>911</v>
      </c>
      <c r="G82" s="9" t="s">
        <v>912</v>
      </c>
      <c r="H82" s="10" t="n">
        <v>1</v>
      </c>
      <c r="I82" s="8" t="n">
        <v>1</v>
      </c>
      <c r="J82" s="8" t="n">
        <v>10</v>
      </c>
      <c r="K82" s="8" t="n">
        <v>20</v>
      </c>
      <c r="L82" s="8" t="s">
        <v>674</v>
      </c>
      <c r="M82" s="8" t="n">
        <v>100</v>
      </c>
      <c r="N82" s="8" t="s">
        <v>675</v>
      </c>
      <c r="O82" s="9" t="s">
        <v>913</v>
      </c>
      <c r="P82" s="8" t="s">
        <v>243</v>
      </c>
      <c r="Q82" s="15" t="n">
        <v>78</v>
      </c>
    </row>
    <row r="83" customFormat="false" ht="15" hidden="false" customHeight="true" outlineLevel="0" collapsed="false">
      <c r="A83" s="10" t="s">
        <v>914</v>
      </c>
      <c r="B83" s="8" t="s">
        <v>915</v>
      </c>
      <c r="C83" s="10" t="s">
        <v>812</v>
      </c>
      <c r="D83" s="10" t="s">
        <v>909</v>
      </c>
      <c r="E83" s="8" t="s">
        <v>910</v>
      </c>
      <c r="F83" s="8" t="s">
        <v>911</v>
      </c>
      <c r="G83" s="9" t="s">
        <v>912</v>
      </c>
      <c r="H83" s="10" t="n">
        <v>2</v>
      </c>
      <c r="I83" s="8" t="n">
        <v>4</v>
      </c>
      <c r="J83" s="8" t="n">
        <v>21</v>
      </c>
      <c r="K83" s="8" t="n">
        <v>35</v>
      </c>
      <c r="L83" s="8" t="s">
        <v>674</v>
      </c>
      <c r="M83" s="8" t="n">
        <v>85</v>
      </c>
      <c r="N83" s="8" t="s">
        <v>675</v>
      </c>
      <c r="O83" s="9" t="s">
        <v>913</v>
      </c>
      <c r="P83" s="8" t="s">
        <v>243</v>
      </c>
      <c r="Q83" s="15" t="n">
        <v>79</v>
      </c>
    </row>
    <row r="84" customFormat="false" ht="15" hidden="false" customHeight="true" outlineLevel="0" collapsed="false">
      <c r="A84" s="10" t="s">
        <v>916</v>
      </c>
      <c r="B84" s="8" t="s">
        <v>917</v>
      </c>
      <c r="C84" s="10" t="s">
        <v>812</v>
      </c>
      <c r="D84" s="10" t="s">
        <v>918</v>
      </c>
      <c r="E84" s="8" t="s">
        <v>910</v>
      </c>
      <c r="F84" s="8" t="s">
        <v>834</v>
      </c>
      <c r="G84" s="9" t="s">
        <v>919</v>
      </c>
      <c r="H84" s="10" t="n">
        <v>1</v>
      </c>
      <c r="I84" s="8" t="n">
        <v>1</v>
      </c>
      <c r="J84" s="8" t="n">
        <v>5</v>
      </c>
      <c r="K84" s="8" t="n">
        <v>10</v>
      </c>
      <c r="L84" s="8" t="s">
        <v>674</v>
      </c>
      <c r="M84" s="8" t="n">
        <v>100</v>
      </c>
      <c r="N84" s="8" t="s">
        <v>675</v>
      </c>
      <c r="O84" s="9" t="s">
        <v>920</v>
      </c>
      <c r="P84" s="8" t="s">
        <v>243</v>
      </c>
      <c r="Q84" s="15" t="n">
        <v>80</v>
      </c>
    </row>
    <row r="85" customFormat="false" ht="15" hidden="false" customHeight="true" outlineLevel="0" collapsed="false">
      <c r="A85" s="10" t="s">
        <v>921</v>
      </c>
      <c r="B85" s="8" t="s">
        <v>922</v>
      </c>
      <c r="C85" s="10" t="s">
        <v>812</v>
      </c>
      <c r="D85" s="10" t="s">
        <v>918</v>
      </c>
      <c r="E85" s="8" t="s">
        <v>910</v>
      </c>
      <c r="F85" s="8" t="s">
        <v>834</v>
      </c>
      <c r="G85" s="9" t="s">
        <v>919</v>
      </c>
      <c r="H85" s="10" t="n">
        <v>2</v>
      </c>
      <c r="I85" s="8" t="n">
        <v>5</v>
      </c>
      <c r="J85" s="8" t="n">
        <v>11</v>
      </c>
      <c r="K85" s="8" t="n">
        <v>20</v>
      </c>
      <c r="L85" s="8" t="s">
        <v>674</v>
      </c>
      <c r="M85" s="8" t="n">
        <v>85</v>
      </c>
      <c r="N85" s="8" t="s">
        <v>675</v>
      </c>
      <c r="O85" s="9" t="s">
        <v>920</v>
      </c>
      <c r="P85" s="8" t="s">
        <v>243</v>
      </c>
      <c r="Q85" s="15" t="n">
        <v>81</v>
      </c>
    </row>
    <row r="86" customFormat="false" ht="15" hidden="false" customHeight="true" outlineLevel="0" collapsed="false">
      <c r="A86" s="10" t="s">
        <v>923</v>
      </c>
      <c r="B86" s="8" t="s">
        <v>924</v>
      </c>
      <c r="C86" s="10" t="s">
        <v>812</v>
      </c>
      <c r="D86" s="10" t="s">
        <v>925</v>
      </c>
      <c r="E86" s="8" t="s">
        <v>910</v>
      </c>
      <c r="F86" s="8" t="s">
        <v>834</v>
      </c>
      <c r="G86" s="9" t="s">
        <v>926</v>
      </c>
      <c r="H86" s="10" t="n">
        <v>1</v>
      </c>
      <c r="I86" s="8" t="n">
        <v>3</v>
      </c>
      <c r="J86" s="8" t="n">
        <v>5</v>
      </c>
      <c r="K86" s="8" t="n">
        <v>15</v>
      </c>
      <c r="L86" s="8" t="s">
        <v>674</v>
      </c>
      <c r="M86" s="8" t="n">
        <v>50</v>
      </c>
      <c r="N86" s="8" t="s">
        <v>675</v>
      </c>
      <c r="O86" s="9" t="s">
        <v>927</v>
      </c>
      <c r="P86" s="8" t="s">
        <v>172</v>
      </c>
      <c r="Q86" s="15" t="n">
        <v>82</v>
      </c>
    </row>
    <row r="87" customFormat="false" ht="15" hidden="false" customHeight="true" outlineLevel="0" collapsed="false">
      <c r="A87" s="10" t="s">
        <v>928</v>
      </c>
      <c r="B87" s="8" t="s">
        <v>929</v>
      </c>
      <c r="C87" s="10" t="s">
        <v>812</v>
      </c>
      <c r="D87" s="10" t="s">
        <v>925</v>
      </c>
      <c r="E87" s="8" t="s">
        <v>910</v>
      </c>
      <c r="F87" s="8" t="s">
        <v>834</v>
      </c>
      <c r="G87" s="9" t="s">
        <v>926</v>
      </c>
      <c r="H87" s="10" t="n">
        <v>2</v>
      </c>
      <c r="I87" s="8" t="n">
        <v>7</v>
      </c>
      <c r="J87" s="8" t="n">
        <v>16</v>
      </c>
      <c r="K87" s="8" t="n">
        <v>30</v>
      </c>
      <c r="L87" s="8" t="s">
        <v>674</v>
      </c>
      <c r="M87" s="8" t="n">
        <v>35</v>
      </c>
      <c r="N87" s="8" t="s">
        <v>675</v>
      </c>
      <c r="O87" s="9" t="s">
        <v>927</v>
      </c>
      <c r="P87" s="8" t="s">
        <v>172</v>
      </c>
      <c r="Q87" s="15" t="n">
        <v>83</v>
      </c>
    </row>
    <row r="88" customFormat="false" ht="23.25" hidden="false" customHeight="true" outlineLevel="0" collapsed="false">
      <c r="A88" s="10" t="s">
        <v>930</v>
      </c>
      <c r="B88" s="8" t="s">
        <v>931</v>
      </c>
      <c r="C88" s="10" t="s">
        <v>812</v>
      </c>
      <c r="D88" s="10" t="s">
        <v>932</v>
      </c>
      <c r="E88" s="8" t="s">
        <v>933</v>
      </c>
      <c r="F88" s="8" t="s">
        <v>672</v>
      </c>
      <c r="G88" s="9" t="s">
        <v>934</v>
      </c>
      <c r="H88" s="10" t="n">
        <v>1</v>
      </c>
      <c r="I88" s="8" t="n">
        <v>3</v>
      </c>
      <c r="J88" s="8" t="n">
        <v>4</v>
      </c>
      <c r="K88" s="8" t="n">
        <v>5</v>
      </c>
      <c r="L88" s="8" t="s">
        <v>674</v>
      </c>
      <c r="M88" s="8" t="n">
        <v>50</v>
      </c>
      <c r="N88" s="8" t="s">
        <v>675</v>
      </c>
      <c r="O88" s="9" t="s">
        <v>935</v>
      </c>
      <c r="P88" s="8" t="s">
        <v>172</v>
      </c>
      <c r="Q88" s="15" t="n">
        <v>84</v>
      </c>
    </row>
    <row r="89" customFormat="false" ht="23.25" hidden="false" customHeight="true" outlineLevel="0" collapsed="false">
      <c r="A89" s="10" t="s">
        <v>936</v>
      </c>
      <c r="B89" s="8" t="s">
        <v>937</v>
      </c>
      <c r="C89" s="10" t="s">
        <v>812</v>
      </c>
      <c r="D89" s="10" t="s">
        <v>932</v>
      </c>
      <c r="E89" s="8" t="s">
        <v>933</v>
      </c>
      <c r="F89" s="8" t="s">
        <v>672</v>
      </c>
      <c r="G89" s="9" t="s">
        <v>934</v>
      </c>
      <c r="H89" s="10" t="n">
        <v>2</v>
      </c>
      <c r="I89" s="8" t="n">
        <v>6</v>
      </c>
      <c r="J89" s="8" t="n">
        <v>6</v>
      </c>
      <c r="K89" s="8" t="n">
        <v>7</v>
      </c>
      <c r="L89" s="8" t="s">
        <v>674</v>
      </c>
      <c r="M89" s="8" t="n">
        <v>35</v>
      </c>
      <c r="N89" s="8" t="s">
        <v>675</v>
      </c>
      <c r="O89" s="9" t="s">
        <v>935</v>
      </c>
      <c r="P89" s="8" t="s">
        <v>172</v>
      </c>
      <c r="Q89" s="15" t="n">
        <v>85</v>
      </c>
    </row>
    <row r="90" customFormat="false" ht="23.25" hidden="false" customHeight="true" outlineLevel="0" collapsed="false">
      <c r="A90" s="10" t="s">
        <v>938</v>
      </c>
      <c r="B90" s="8" t="s">
        <v>939</v>
      </c>
      <c r="C90" s="10" t="s">
        <v>812</v>
      </c>
      <c r="D90" s="10" t="s">
        <v>932</v>
      </c>
      <c r="E90" s="8" t="s">
        <v>933</v>
      </c>
      <c r="F90" s="8" t="s">
        <v>672</v>
      </c>
      <c r="G90" s="9" t="s">
        <v>934</v>
      </c>
      <c r="H90" s="10" t="n">
        <v>3</v>
      </c>
      <c r="I90" s="8" t="n">
        <v>9</v>
      </c>
      <c r="J90" s="8" t="n">
        <v>8</v>
      </c>
      <c r="K90" s="8" t="n">
        <v>10</v>
      </c>
      <c r="L90" s="8" t="s">
        <v>674</v>
      </c>
      <c r="M90" s="8" t="n">
        <v>20</v>
      </c>
      <c r="N90" s="8" t="s">
        <v>675</v>
      </c>
      <c r="O90" s="9" t="s">
        <v>935</v>
      </c>
      <c r="P90" s="8" t="s">
        <v>172</v>
      </c>
      <c r="Q90" s="15" t="n">
        <v>86</v>
      </c>
    </row>
    <row r="91" customFormat="false" ht="23.25" hidden="false" customHeight="true" outlineLevel="0" collapsed="false">
      <c r="A91" s="10" t="s">
        <v>940</v>
      </c>
      <c r="B91" s="8" t="s">
        <v>941</v>
      </c>
      <c r="C91" s="10" t="s">
        <v>812</v>
      </c>
      <c r="D91" s="10" t="s">
        <v>942</v>
      </c>
      <c r="E91" s="8" t="s">
        <v>933</v>
      </c>
      <c r="F91" s="8" t="s">
        <v>824</v>
      </c>
      <c r="G91" s="9" t="s">
        <v>943</v>
      </c>
      <c r="H91" s="10" t="n">
        <v>1</v>
      </c>
      <c r="I91" s="8" t="n">
        <v>3</v>
      </c>
      <c r="J91" s="8" t="n">
        <v>4</v>
      </c>
      <c r="K91" s="8" t="n">
        <v>5</v>
      </c>
      <c r="L91" s="8" t="s">
        <v>674</v>
      </c>
      <c r="M91" s="8" t="n">
        <v>50</v>
      </c>
      <c r="N91" s="8" t="s">
        <v>675</v>
      </c>
      <c r="O91" s="9" t="s">
        <v>944</v>
      </c>
      <c r="P91" s="8" t="s">
        <v>243</v>
      </c>
      <c r="Q91" s="15" t="n">
        <v>87</v>
      </c>
    </row>
    <row r="92" customFormat="false" ht="23.25" hidden="false" customHeight="true" outlineLevel="0" collapsed="false">
      <c r="A92" s="10" t="s">
        <v>945</v>
      </c>
      <c r="B92" s="8" t="s">
        <v>882</v>
      </c>
      <c r="C92" s="10" t="s">
        <v>812</v>
      </c>
      <c r="D92" s="10" t="s">
        <v>942</v>
      </c>
      <c r="E92" s="8" t="s">
        <v>933</v>
      </c>
      <c r="F92" s="8" t="s">
        <v>824</v>
      </c>
      <c r="G92" s="9" t="s">
        <v>943</v>
      </c>
      <c r="H92" s="10" t="n">
        <v>2</v>
      </c>
      <c r="I92" s="8" t="n">
        <v>6</v>
      </c>
      <c r="J92" s="8" t="n">
        <v>6</v>
      </c>
      <c r="K92" s="8" t="n">
        <v>7</v>
      </c>
      <c r="L92" s="8" t="s">
        <v>674</v>
      </c>
      <c r="M92" s="8" t="n">
        <v>35</v>
      </c>
      <c r="N92" s="8" t="s">
        <v>675</v>
      </c>
      <c r="O92" s="9" t="s">
        <v>944</v>
      </c>
      <c r="P92" s="8" t="s">
        <v>243</v>
      </c>
      <c r="Q92" s="15" t="n">
        <v>88</v>
      </c>
    </row>
    <row r="93" customFormat="false" ht="23.25" hidden="false" customHeight="true" outlineLevel="0" collapsed="false">
      <c r="A93" s="10" t="s">
        <v>946</v>
      </c>
      <c r="B93" s="8" t="s">
        <v>947</v>
      </c>
      <c r="C93" s="10" t="s">
        <v>812</v>
      </c>
      <c r="D93" s="10" t="s">
        <v>942</v>
      </c>
      <c r="E93" s="8" t="s">
        <v>933</v>
      </c>
      <c r="F93" s="8" t="s">
        <v>824</v>
      </c>
      <c r="G93" s="9" t="s">
        <v>943</v>
      </c>
      <c r="H93" s="10" t="n">
        <v>3</v>
      </c>
      <c r="I93" s="8" t="n">
        <v>9</v>
      </c>
      <c r="J93" s="8" t="n">
        <v>8</v>
      </c>
      <c r="K93" s="8" t="n">
        <v>10</v>
      </c>
      <c r="L93" s="8" t="s">
        <v>674</v>
      </c>
      <c r="M93" s="8" t="n">
        <v>20</v>
      </c>
      <c r="N93" s="8" t="s">
        <v>675</v>
      </c>
      <c r="O93" s="9" t="s">
        <v>944</v>
      </c>
      <c r="P93" s="8" t="s">
        <v>243</v>
      </c>
      <c r="Q93" s="15" t="n">
        <v>89</v>
      </c>
    </row>
    <row r="94" customFormat="false" ht="15" hidden="false" customHeight="true" outlineLevel="0" collapsed="false">
      <c r="A94" s="10" t="s">
        <v>948</v>
      </c>
      <c r="B94" s="8" t="s">
        <v>949</v>
      </c>
      <c r="C94" s="10" t="s">
        <v>812</v>
      </c>
      <c r="D94" s="10" t="s">
        <v>950</v>
      </c>
      <c r="E94" s="8" t="s">
        <v>933</v>
      </c>
      <c r="F94" s="8" t="s">
        <v>672</v>
      </c>
      <c r="G94" s="9" t="s">
        <v>951</v>
      </c>
      <c r="H94" s="10" t="n">
        <v>1</v>
      </c>
      <c r="I94" s="8" t="n">
        <v>3</v>
      </c>
      <c r="J94" s="8" t="n">
        <v>4</v>
      </c>
      <c r="K94" s="8" t="n">
        <v>5</v>
      </c>
      <c r="L94" s="8" t="s">
        <v>674</v>
      </c>
      <c r="M94" s="8" t="n">
        <v>50</v>
      </c>
      <c r="N94" s="8" t="s">
        <v>675</v>
      </c>
      <c r="O94" s="9" t="s">
        <v>944</v>
      </c>
      <c r="P94" s="8" t="s">
        <v>172</v>
      </c>
      <c r="Q94" s="15" t="n">
        <v>90</v>
      </c>
    </row>
    <row r="95" customFormat="false" ht="15" hidden="false" customHeight="true" outlineLevel="0" collapsed="false">
      <c r="A95" s="10" t="s">
        <v>952</v>
      </c>
      <c r="B95" s="8" t="s">
        <v>953</v>
      </c>
      <c r="C95" s="10" t="s">
        <v>812</v>
      </c>
      <c r="D95" s="10" t="s">
        <v>950</v>
      </c>
      <c r="E95" s="8" t="s">
        <v>933</v>
      </c>
      <c r="F95" s="8" t="s">
        <v>672</v>
      </c>
      <c r="G95" s="9" t="s">
        <v>951</v>
      </c>
      <c r="H95" s="10" t="n">
        <v>2</v>
      </c>
      <c r="I95" s="8" t="n">
        <v>7</v>
      </c>
      <c r="J95" s="8" t="n">
        <v>6</v>
      </c>
      <c r="K95" s="8" t="n">
        <v>8</v>
      </c>
      <c r="L95" s="8" t="s">
        <v>674</v>
      </c>
      <c r="M95" s="8" t="n">
        <v>35</v>
      </c>
      <c r="N95" s="8" t="s">
        <v>675</v>
      </c>
      <c r="O95" s="9" t="s">
        <v>944</v>
      </c>
      <c r="P95" s="8" t="s">
        <v>172</v>
      </c>
      <c r="Q95" s="15" t="n">
        <v>91</v>
      </c>
    </row>
    <row r="96" customFormat="false" ht="15" hidden="false" customHeight="true" outlineLevel="0" collapsed="false">
      <c r="A96" s="10" t="s">
        <v>954</v>
      </c>
      <c r="B96" s="8" t="s">
        <v>955</v>
      </c>
      <c r="C96" s="10" t="s">
        <v>812</v>
      </c>
      <c r="D96" s="10" t="s">
        <v>956</v>
      </c>
      <c r="E96" s="8" t="s">
        <v>933</v>
      </c>
      <c r="F96" s="8" t="s">
        <v>824</v>
      </c>
      <c r="G96" s="9" t="s">
        <v>957</v>
      </c>
      <c r="H96" s="10" t="n">
        <v>1</v>
      </c>
      <c r="I96" s="8" t="n">
        <v>3</v>
      </c>
      <c r="J96" s="8" t="n">
        <v>4</v>
      </c>
      <c r="K96" s="8" t="n">
        <v>6</v>
      </c>
      <c r="L96" s="8" t="s">
        <v>674</v>
      </c>
      <c r="M96" s="8" t="n">
        <v>50</v>
      </c>
      <c r="N96" s="8" t="s">
        <v>675</v>
      </c>
      <c r="O96" s="9" t="s">
        <v>944</v>
      </c>
      <c r="P96" s="8" t="s">
        <v>243</v>
      </c>
      <c r="Q96" s="15" t="n">
        <v>92</v>
      </c>
    </row>
    <row r="97" customFormat="false" ht="15" hidden="false" customHeight="true" outlineLevel="0" collapsed="false">
      <c r="A97" s="10" t="s">
        <v>958</v>
      </c>
      <c r="B97" s="8" t="s">
        <v>959</v>
      </c>
      <c r="C97" s="10" t="s">
        <v>812</v>
      </c>
      <c r="D97" s="10" t="s">
        <v>956</v>
      </c>
      <c r="E97" s="8" t="s">
        <v>933</v>
      </c>
      <c r="F97" s="8" t="s">
        <v>824</v>
      </c>
      <c r="G97" s="9" t="s">
        <v>957</v>
      </c>
      <c r="H97" s="10" t="n">
        <v>2</v>
      </c>
      <c r="I97" s="8" t="n">
        <v>7</v>
      </c>
      <c r="J97" s="8" t="n">
        <v>7</v>
      </c>
      <c r="K97" s="8" t="n">
        <v>9</v>
      </c>
      <c r="L97" s="8" t="s">
        <v>674</v>
      </c>
      <c r="M97" s="8" t="n">
        <v>35</v>
      </c>
      <c r="N97" s="8" t="s">
        <v>675</v>
      </c>
      <c r="O97" s="9" t="s">
        <v>944</v>
      </c>
      <c r="P97" s="8" t="s">
        <v>243</v>
      </c>
      <c r="Q97" s="15" t="n">
        <v>93</v>
      </c>
    </row>
    <row r="98" customFormat="false" ht="15" hidden="false" customHeight="true" outlineLevel="0" collapsed="false">
      <c r="A98" s="10" t="s">
        <v>960</v>
      </c>
      <c r="B98" s="8" t="s">
        <v>961</v>
      </c>
      <c r="C98" s="10" t="s">
        <v>812</v>
      </c>
      <c r="D98" s="10" t="s">
        <v>962</v>
      </c>
      <c r="E98" s="8" t="s">
        <v>933</v>
      </c>
      <c r="F98" s="8" t="s">
        <v>824</v>
      </c>
      <c r="G98" s="9" t="s">
        <v>963</v>
      </c>
      <c r="H98" s="10" t="n">
        <v>1</v>
      </c>
      <c r="I98" s="8" t="n">
        <v>4</v>
      </c>
      <c r="J98" s="8" t="n">
        <v>3</v>
      </c>
      <c r="K98" s="8" t="n">
        <v>4</v>
      </c>
      <c r="L98" s="8" t="s">
        <v>674</v>
      </c>
      <c r="M98" s="8" t="n">
        <v>40</v>
      </c>
      <c r="N98" s="8" t="s">
        <v>675</v>
      </c>
      <c r="O98" s="9" t="s">
        <v>964</v>
      </c>
      <c r="P98" s="8" t="s">
        <v>243</v>
      </c>
      <c r="Q98" s="15" t="n">
        <v>94</v>
      </c>
    </row>
    <row r="99" customFormat="false" ht="15" hidden="false" customHeight="true" outlineLevel="0" collapsed="false">
      <c r="A99" s="10" t="s">
        <v>965</v>
      </c>
      <c r="B99" s="8" t="s">
        <v>966</v>
      </c>
      <c r="C99" s="10" t="s">
        <v>812</v>
      </c>
      <c r="D99" s="10" t="s">
        <v>962</v>
      </c>
      <c r="E99" s="8" t="s">
        <v>933</v>
      </c>
      <c r="F99" s="8" t="s">
        <v>824</v>
      </c>
      <c r="G99" s="9" t="s">
        <v>963</v>
      </c>
      <c r="H99" s="10" t="n">
        <v>2</v>
      </c>
      <c r="I99" s="8" t="n">
        <v>8</v>
      </c>
      <c r="J99" s="8" t="n">
        <v>5</v>
      </c>
      <c r="K99" s="8" t="n">
        <v>6</v>
      </c>
      <c r="L99" s="8" t="s">
        <v>674</v>
      </c>
      <c r="M99" s="8" t="n">
        <v>25</v>
      </c>
      <c r="N99" s="8" t="s">
        <v>675</v>
      </c>
      <c r="O99" s="9" t="s">
        <v>964</v>
      </c>
      <c r="P99" s="8" t="s">
        <v>243</v>
      </c>
      <c r="Q99" s="15" t="n">
        <v>95</v>
      </c>
    </row>
    <row r="100" customFormat="false" ht="15" hidden="false" customHeight="true" outlineLevel="0" collapsed="false">
      <c r="A100" s="10" t="s">
        <v>967</v>
      </c>
      <c r="B100" s="8" t="s">
        <v>968</v>
      </c>
      <c r="C100" s="10" t="s">
        <v>812</v>
      </c>
      <c r="D100" s="10" t="s">
        <v>969</v>
      </c>
      <c r="E100" s="8" t="s">
        <v>933</v>
      </c>
      <c r="F100" s="8" t="s">
        <v>834</v>
      </c>
      <c r="G100" s="9" t="s">
        <v>970</v>
      </c>
      <c r="H100" s="10" t="n">
        <v>1</v>
      </c>
      <c r="I100" s="8" t="n">
        <v>3</v>
      </c>
      <c r="J100" s="8" t="n">
        <v>3</v>
      </c>
      <c r="K100" s="8" t="n">
        <v>4</v>
      </c>
      <c r="L100" s="8" t="s">
        <v>674</v>
      </c>
      <c r="M100" s="8" t="n">
        <v>40</v>
      </c>
      <c r="N100" s="8" t="s">
        <v>675</v>
      </c>
      <c r="O100" s="9" t="s">
        <v>944</v>
      </c>
      <c r="P100" s="8" t="s">
        <v>172</v>
      </c>
      <c r="Q100" s="15" t="n">
        <v>96</v>
      </c>
    </row>
    <row r="101" customFormat="false" ht="15" hidden="false" customHeight="true" outlineLevel="0" collapsed="false">
      <c r="A101" s="10" t="s">
        <v>971</v>
      </c>
      <c r="B101" s="8" t="s">
        <v>972</v>
      </c>
      <c r="C101" s="10" t="s">
        <v>812</v>
      </c>
      <c r="D101" s="10" t="s">
        <v>969</v>
      </c>
      <c r="E101" s="8" t="s">
        <v>933</v>
      </c>
      <c r="F101" s="8" t="s">
        <v>834</v>
      </c>
      <c r="G101" s="9" t="s">
        <v>970</v>
      </c>
      <c r="H101" s="10" t="n">
        <v>2</v>
      </c>
      <c r="I101" s="8" t="n">
        <v>7</v>
      </c>
      <c r="J101" s="8" t="n">
        <v>5</v>
      </c>
      <c r="K101" s="8" t="n">
        <v>6</v>
      </c>
      <c r="L101" s="8" t="s">
        <v>674</v>
      </c>
      <c r="M101" s="8" t="n">
        <v>25</v>
      </c>
      <c r="N101" s="8" t="s">
        <v>675</v>
      </c>
      <c r="O101" s="9" t="s">
        <v>944</v>
      </c>
      <c r="P101" s="8" t="s">
        <v>172</v>
      </c>
      <c r="Q101" s="15" t="n">
        <v>97</v>
      </c>
    </row>
    <row r="102" customFormat="false" ht="15" hidden="false" customHeight="true" outlineLevel="0" collapsed="false">
      <c r="A102" s="10" t="s">
        <v>973</v>
      </c>
      <c r="B102" s="8" t="s">
        <v>974</v>
      </c>
      <c r="C102" s="10" t="s">
        <v>812</v>
      </c>
      <c r="D102" s="10" t="s">
        <v>975</v>
      </c>
      <c r="E102" s="8" t="s">
        <v>933</v>
      </c>
      <c r="F102" s="8" t="s">
        <v>672</v>
      </c>
      <c r="G102" s="9" t="s">
        <v>976</v>
      </c>
      <c r="H102" s="10" t="n">
        <v>1</v>
      </c>
      <c r="I102" s="8" t="n">
        <v>5</v>
      </c>
      <c r="J102" s="8" t="n">
        <v>8</v>
      </c>
      <c r="K102" s="8" t="n">
        <v>12</v>
      </c>
      <c r="L102" s="8" t="s">
        <v>674</v>
      </c>
      <c r="M102" s="8" t="n">
        <v>40</v>
      </c>
      <c r="N102" s="8" t="s">
        <v>675</v>
      </c>
      <c r="O102" s="9" t="s">
        <v>977</v>
      </c>
      <c r="P102" s="8" t="s">
        <v>243</v>
      </c>
      <c r="Q102" s="15" t="n">
        <v>98</v>
      </c>
    </row>
    <row r="103" customFormat="false" ht="15" hidden="false" customHeight="true" outlineLevel="0" collapsed="false">
      <c r="A103" s="10" t="s">
        <v>978</v>
      </c>
      <c r="B103" s="8" t="s">
        <v>979</v>
      </c>
      <c r="C103" s="10" t="s">
        <v>812</v>
      </c>
      <c r="D103" s="10" t="s">
        <v>975</v>
      </c>
      <c r="E103" s="8" t="s">
        <v>933</v>
      </c>
      <c r="F103" s="8" t="s">
        <v>672</v>
      </c>
      <c r="G103" s="9" t="s">
        <v>976</v>
      </c>
      <c r="H103" s="10" t="n">
        <v>2</v>
      </c>
      <c r="I103" s="8" t="n">
        <v>9</v>
      </c>
      <c r="J103" s="8" t="n">
        <v>13</v>
      </c>
      <c r="K103" s="8" t="n">
        <v>18</v>
      </c>
      <c r="L103" s="8" t="s">
        <v>674</v>
      </c>
      <c r="M103" s="8" t="n">
        <v>25</v>
      </c>
      <c r="N103" s="8" t="s">
        <v>675</v>
      </c>
      <c r="O103" s="9" t="s">
        <v>977</v>
      </c>
      <c r="P103" s="8" t="s">
        <v>243</v>
      </c>
      <c r="Q103" s="15" t="n">
        <v>99</v>
      </c>
    </row>
    <row r="104" customFormat="false" ht="15" hidden="false" customHeight="true" outlineLevel="0" collapsed="false">
      <c r="A104" s="10" t="s">
        <v>980</v>
      </c>
      <c r="B104" s="8" t="s">
        <v>981</v>
      </c>
      <c r="C104" s="10" t="s">
        <v>812</v>
      </c>
      <c r="D104" s="10" t="s">
        <v>982</v>
      </c>
      <c r="E104" s="8" t="s">
        <v>933</v>
      </c>
      <c r="F104" s="8" t="s">
        <v>834</v>
      </c>
      <c r="G104" s="9" t="s">
        <v>983</v>
      </c>
      <c r="H104" s="10" t="n">
        <v>1</v>
      </c>
      <c r="I104" s="8" t="n">
        <v>8</v>
      </c>
      <c r="J104" s="8" t="n">
        <v>20</v>
      </c>
      <c r="K104" s="8" t="n">
        <v>30</v>
      </c>
      <c r="L104" s="8" t="s">
        <v>674</v>
      </c>
      <c r="M104" s="8" t="n">
        <v>10</v>
      </c>
      <c r="N104" s="8" t="s">
        <v>675</v>
      </c>
      <c r="O104" s="9" t="s">
        <v>984</v>
      </c>
      <c r="P104" s="8" t="s">
        <v>243</v>
      </c>
      <c r="Q104" s="15" t="n">
        <v>100</v>
      </c>
    </row>
    <row r="105" customFormat="false" ht="15" hidden="false" customHeight="false" outlineLevel="0" collapsed="false"/>
    <row r="106" customFormat="false" ht="15" hidden="false" customHeight="true" outlineLevel="0" collapsed="false">
      <c r="A106" s="4" t="s">
        <v>985</v>
      </c>
    </row>
    <row r="107" customFormat="false" ht="15" hidden="false" customHeight="true" outlineLevel="0" collapsed="false">
      <c r="A107" s="10" t="s">
        <v>697</v>
      </c>
      <c r="B107" s="10" t="n">
        <f aca="false">COUNTIF($F$5:$F$104,"*Collar*")</f>
        <v>46</v>
      </c>
    </row>
    <row r="108" customFormat="false" ht="15" hidden="false" customHeight="true" outlineLevel="0" collapsed="false">
      <c r="A108" s="10" t="s">
        <v>782</v>
      </c>
      <c r="B108" s="10" t="n">
        <f aca="false">COUNTIF($F$5:$F$104,"*Harness*")</f>
        <v>56</v>
      </c>
    </row>
    <row r="109" customFormat="false" ht="15" hidden="false" customHeight="true" outlineLevel="0" collapsed="false">
      <c r="A109" s="10" t="s">
        <v>834</v>
      </c>
      <c r="B109" s="10" t="n">
        <f aca="false">COUNTIF($F$5:$F$104,"*Charm*")</f>
        <v>53</v>
      </c>
    </row>
  </sheetData>
  <autoFilter ref="A4:Q104"/>
  <dataValidations count="1">
    <dataValidation allowBlank="false" errorStyle="stop" operator="between" showDropDown="false" showErrorMessage="false" showInputMessage="false" sqref="C5:C144" type="list">
      <formula1>"Prefix,Suffix"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6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36"/>
  </cols>
  <sheetData>
    <row r="1" customFormat="false" ht="17.25" hidden="false" customHeight="true" outlineLevel="0" collapsed="false">
      <c r="A1" s="2" t="s">
        <v>986</v>
      </c>
    </row>
    <row r="2" customFormat="false" ht="15" hidden="false" customHeight="true" outlineLevel="0" collapsed="false">
      <c r="A2" s="3" t="s">
        <v>987</v>
      </c>
    </row>
    <row r="4" customFormat="false" ht="31.5" hidden="false" customHeight="true" outlineLevel="0" collapsed="false">
      <c r="A4" s="7" t="s">
        <v>933</v>
      </c>
      <c r="B4" s="7" t="s">
        <v>142</v>
      </c>
      <c r="C4" s="7" t="s">
        <v>988</v>
      </c>
      <c r="D4" s="7" t="s">
        <v>148</v>
      </c>
      <c r="E4" s="7" t="s">
        <v>989</v>
      </c>
      <c r="F4" s="7" t="s">
        <v>31</v>
      </c>
      <c r="G4" s="7" t="s">
        <v>990</v>
      </c>
      <c r="H4" s="7" t="s">
        <v>991</v>
      </c>
      <c r="I4" s="7" t="s">
        <v>158</v>
      </c>
    </row>
    <row r="5" customFormat="false" ht="23.25" hidden="false" customHeight="true" outlineLevel="0" collapsed="false">
      <c r="A5" s="10" t="s">
        <v>992</v>
      </c>
      <c r="B5" s="9" t="s">
        <v>993</v>
      </c>
      <c r="C5" s="8" t="n">
        <v>20</v>
      </c>
      <c r="D5" s="8" t="n">
        <v>15</v>
      </c>
      <c r="E5" s="10" t="n">
        <f aca="false">C5+D5*17</f>
        <v>275</v>
      </c>
      <c r="F5" s="8" t="s">
        <v>709</v>
      </c>
      <c r="G5" s="9" t="s">
        <v>994</v>
      </c>
      <c r="H5" s="9" t="s">
        <v>995</v>
      </c>
      <c r="I5" s="9" t="s">
        <v>996</v>
      </c>
    </row>
    <row r="6" customFormat="false" ht="15" hidden="false" customHeight="true" outlineLevel="0" collapsed="false">
      <c r="A6" s="10" t="s">
        <v>373</v>
      </c>
      <c r="B6" s="9" t="s">
        <v>997</v>
      </c>
      <c r="C6" s="8" t="n">
        <v>15</v>
      </c>
      <c r="D6" s="8" t="n">
        <v>12</v>
      </c>
      <c r="E6" s="10" t="n">
        <f aca="false">C6+D6*17</f>
        <v>219</v>
      </c>
      <c r="F6" s="8" t="s">
        <v>709</v>
      </c>
      <c r="G6" s="9" t="s">
        <v>998</v>
      </c>
      <c r="H6" s="9" t="s">
        <v>999</v>
      </c>
      <c r="I6" s="9" t="s">
        <v>1000</v>
      </c>
    </row>
    <row r="7" customFormat="false" ht="15" hidden="false" customHeight="true" outlineLevel="0" collapsed="false">
      <c r="A7" s="10" t="s">
        <v>1001</v>
      </c>
      <c r="B7" s="9" t="s">
        <v>1002</v>
      </c>
      <c r="C7" s="8" t="n">
        <v>18</v>
      </c>
      <c r="D7" s="8" t="n">
        <v>14</v>
      </c>
      <c r="E7" s="10" t="n">
        <f aca="false">C7+D7*17</f>
        <v>256</v>
      </c>
      <c r="F7" s="8" t="s">
        <v>709</v>
      </c>
      <c r="G7" s="9" t="s">
        <v>1003</v>
      </c>
      <c r="H7" s="9" t="s">
        <v>1004</v>
      </c>
      <c r="I7" s="9" t="s">
        <v>1005</v>
      </c>
    </row>
    <row r="8" customFormat="false" ht="15" hidden="false" customHeight="true" outlineLevel="0" collapsed="false">
      <c r="A8" s="10" t="s">
        <v>1006</v>
      </c>
      <c r="B8" s="9" t="s">
        <v>1007</v>
      </c>
      <c r="C8" s="8" t="n">
        <v>25</v>
      </c>
      <c r="D8" s="8" t="n">
        <v>18</v>
      </c>
      <c r="E8" s="10" t="n">
        <f aca="false">C8+D8*17</f>
        <v>331</v>
      </c>
      <c r="F8" s="8" t="s">
        <v>709</v>
      </c>
      <c r="G8" s="9" t="s">
        <v>1008</v>
      </c>
      <c r="H8" s="9" t="s">
        <v>1009</v>
      </c>
      <c r="I8" s="9" t="s">
        <v>1010</v>
      </c>
    </row>
    <row r="9" customFormat="false" ht="15" hidden="false" customHeight="true" outlineLevel="0" collapsed="false">
      <c r="A9" s="10" t="s">
        <v>1011</v>
      </c>
      <c r="B9" s="9" t="s">
        <v>1012</v>
      </c>
      <c r="C9" s="8" t="n">
        <v>2</v>
      </c>
      <c r="D9" s="8" t="n">
        <v>0.25</v>
      </c>
      <c r="E9" s="10" t="n">
        <f aca="false">C9+D9*17</f>
        <v>6.25</v>
      </c>
      <c r="F9" s="8" t="s">
        <v>167</v>
      </c>
      <c r="G9" s="9" t="s">
        <v>1013</v>
      </c>
      <c r="H9" s="9" t="s">
        <v>1014</v>
      </c>
      <c r="I9" s="9" t="s">
        <v>1015</v>
      </c>
    </row>
    <row r="10" customFormat="false" ht="15" hidden="false" customHeight="true" outlineLevel="0" collapsed="false">
      <c r="A10" s="10" t="s">
        <v>474</v>
      </c>
      <c r="B10" s="9" t="s">
        <v>475</v>
      </c>
      <c r="C10" s="8" t="n">
        <v>3</v>
      </c>
      <c r="D10" s="8" t="n">
        <v>0.4</v>
      </c>
      <c r="E10" s="10" t="n">
        <f aca="false">C10+D10*17</f>
        <v>9.8</v>
      </c>
      <c r="F10" s="8" t="s">
        <v>218</v>
      </c>
      <c r="G10" s="9" t="s">
        <v>1016</v>
      </c>
      <c r="H10" s="9" t="s">
        <v>1017</v>
      </c>
      <c r="I10" s="9" t="s">
        <v>1018</v>
      </c>
    </row>
    <row r="11" customFormat="false" ht="23.25" hidden="false" customHeight="true" outlineLevel="0" collapsed="false">
      <c r="A11" s="10" t="s">
        <v>1019</v>
      </c>
      <c r="B11" s="9" t="s">
        <v>1020</v>
      </c>
      <c r="C11" s="8" t="n">
        <v>20</v>
      </c>
      <c r="D11" s="8" t="n">
        <v>2</v>
      </c>
      <c r="E11" s="10" t="n">
        <f aca="false">C11+D11*17</f>
        <v>54</v>
      </c>
      <c r="F11" s="8" t="s">
        <v>1021</v>
      </c>
      <c r="G11" s="9" t="s">
        <v>1008</v>
      </c>
      <c r="H11" s="9" t="s">
        <v>1022</v>
      </c>
      <c r="I11" s="9" t="s">
        <v>1023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2026-10-14T15:23:10Z</dcterms:created>
  <dc:creator>openpyxl</dc:creator>
  <dc:description/>
  <dc:language>en-US</dc:language>
  <cp:lastModifiedBy/>
  <dcterms:modified xsi:type="dcterms:W3CDTF">2026-10-14T17:22:32Z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